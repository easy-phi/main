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62" i="1" l="1"/>
  <c r="D62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59" i="1" l="1"/>
</calcChain>
</file>

<file path=xl/sharedStrings.xml><?xml version="1.0" encoding="utf-8"?>
<sst xmlns="http://schemas.openxmlformats.org/spreadsheetml/2006/main" count="298" uniqueCount="265">
  <si>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</si>
  <si>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</si>
  <si>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</si>
  <si>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</si>
  <si>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</si>
  <si>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</si>
  <si>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</si>
  <si>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</si>
  <si>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</si>
  <si>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</si>
  <si>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</si>
  <si>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</si>
  <si>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</si>
  <si>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</si>
  <si>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</si>
  <si>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</si>
  <si>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</si>
  <si>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</si>
  <si>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</si>
  <si>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http://www.digikey.com/product-detail/en/MBRS340T3G/MBRS340T3GOSCT-ND/918009</t>
  </si>
  <si>
    <t>http://www.digikey.com/product-detail/en/C2012X5R1C226K/445-6797-1-ND/2524879</t>
  </si>
  <si>
    <t>Taiyo Yuden</t>
  </si>
  <si>
    <t>0805 (2012 Metric)</t>
  </si>
  <si>
    <t>Fairchild Semiconductor</t>
  </si>
  <si>
    <t>ON Semiconductor</t>
  </si>
  <si>
    <t>MBRS340T3G</t>
  </si>
  <si>
    <t>SMC</t>
  </si>
  <si>
    <t>TDK Corporation</t>
  </si>
  <si>
    <t>CAP CER 22UF 16V 10% X5R 0805</t>
  </si>
  <si>
    <t>Panasonic Electronic Components</t>
  </si>
  <si>
    <t>0603 (1608 Metric)</t>
  </si>
  <si>
    <t>Kemet</t>
  </si>
  <si>
    <t>http://www.digikey.com/product-detail/en/EMK107B7105KA-T/587-1241-1-ND/931018</t>
  </si>
  <si>
    <t>Maxim Integrated</t>
  </si>
  <si>
    <t>EMK107B7105KA-T</t>
  </si>
  <si>
    <t>CAP CER 1UF 16V 10% X7R 0603</t>
  </si>
  <si>
    <t>Texas Instruments</t>
  </si>
  <si>
    <t>C2012X5R1C226K125AC</t>
  </si>
  <si>
    <t>DIODE SCHOTTKY 40V 4A SMC</t>
  </si>
  <si>
    <t>http://www.digikey.com/product-detail/en/SN65LVDM176DGK/296-6903-5-ND/371612</t>
  </si>
  <si>
    <t>U9</t>
  </si>
  <si>
    <t>SN65LVDM176DGK</t>
  </si>
  <si>
    <t>IC HS DIFF LINE TXRX 8VSSOP</t>
  </si>
  <si>
    <t>CRYSTAL 32.768KHZ 12.5PF SMD</t>
  </si>
  <si>
    <t>ABS25-32.768KHZ-T</t>
  </si>
  <si>
    <t>Abracon Corporation</t>
  </si>
  <si>
    <t>4-SOJ, 5.50mm pitch</t>
  </si>
  <si>
    <t>http://www.digikey.com/product-detail/en/ABS25-32.768KHZ-T/535-9166-1-ND/675683</t>
  </si>
  <si>
    <t>X2</t>
  </si>
  <si>
    <t>X1</t>
  </si>
  <si>
    <t>http://www.digikey.com/product-detail/en/7A-12.000MAAJ-T/887-1081-1-ND/2118958</t>
  </si>
  <si>
    <t>CONN QMA</t>
  </si>
  <si>
    <t>2622-4035</t>
  </si>
  <si>
    <t>ANO</t>
  </si>
  <si>
    <t>Amphenol Connex</t>
  </si>
  <si>
    <t>http://www.digikey.com/product-detail/en/132203/ACX1234-ND/1011911</t>
  </si>
  <si>
    <t>CONN DIN PLUG 48POS RT ANG PCB</t>
  </si>
  <si>
    <t>5650478-5</t>
  </si>
  <si>
    <t>TE Connectivity</t>
  </si>
  <si>
    <t>http://www.digikey.com/product-detail/en/5650478-5/A32298-ND/811088</t>
  </si>
  <si>
    <t>U12</t>
  </si>
  <si>
    <t>RIGHT ANGLE LIGHT PIPE, 2.8MM</t>
  </si>
  <si>
    <t>RLP1-600-800</t>
  </si>
  <si>
    <t>Bivar Inc</t>
  </si>
  <si>
    <t>http://www.digikey.com/product-detail/en/RLP1-600-800/492-1454-ND/2875081</t>
  </si>
  <si>
    <t>LED RED/GREEN/BLUE PLCC4 SMD</t>
  </si>
  <si>
    <t>CLV1A-FKB-CJ1M1F1BB7R4S3</t>
  </si>
  <si>
    <t>Cree Inc</t>
  </si>
  <si>
    <t>4-PLCC</t>
  </si>
  <si>
    <t>http://www.digikey.com/product-detail/en/CLV1A-FKB-CJ1M1F1BB7R4S3/CLV1A-FKB-CJ1M1F1BB7R4S3CT-ND/1987488</t>
  </si>
  <si>
    <t>U10</t>
  </si>
  <si>
    <t>SWITCH TACTILE SPST-NO 0.05A 12V</t>
  </si>
  <si>
    <t>FSMRA7JH</t>
  </si>
  <si>
    <t>http://www.digikey.com/product-detail/en/FSMRA7JH/450-1661-ND/1632547</t>
  </si>
  <si>
    <t>U8</t>
  </si>
  <si>
    <t>IC INVERTER DUAL 1-INPUT SM8</t>
  </si>
  <si>
    <t>SN74LVC2G240DCTR</t>
  </si>
  <si>
    <t>8-LSSOP (0.11", 2.80mm Width)</t>
  </si>
  <si>
    <t>http://www.digikey.com/product-detail/en/SN74LVC2G240DCTR/296-15588-1-ND/571169</t>
  </si>
  <si>
    <t>U7</t>
  </si>
  <si>
    <t>Atmel</t>
  </si>
  <si>
    <t>U4</t>
  </si>
  <si>
    <t>STMicroelectronics</t>
  </si>
  <si>
    <t>http://www.digikey.com/product-detail/en/USBLC6-2SC6/497-5235-1-ND/1121688</t>
  </si>
  <si>
    <t>U5</t>
  </si>
  <si>
    <t>TPS7A4901DGNR</t>
  </si>
  <si>
    <t>8-MSOP-PowerPad</t>
  </si>
  <si>
    <t>http://www.digikey.com/product-detail/en/TPS7A4901DGNR/296-27751-1-ND/2361068</t>
  </si>
  <si>
    <t>U1</t>
  </si>
  <si>
    <t>IC HOT-SWAP CTRLR N-CH 10-UMAX</t>
  </si>
  <si>
    <t>MAX5924DEUB+</t>
  </si>
  <si>
    <t>10-uMAX</t>
  </si>
  <si>
    <t>http://www.digikey.com/product-detail/en/MAX5924DEUB%2B/MAX5924DEUB%2B-ND/1937481</t>
  </si>
  <si>
    <t>U2</t>
  </si>
  <si>
    <t>MAX5925DEUB+</t>
  </si>
  <si>
    <t>http://www.digikey.com/product-detail/en/MAX5925DEUB%2B/MAX5925DEUB%2B-ND/1937487</t>
  </si>
  <si>
    <t>U3</t>
  </si>
  <si>
    <t>IC EEPROM 64KBIT 400KHZ 8SOIC</t>
  </si>
  <si>
    <t>24LC64-I/SN</t>
  </si>
  <si>
    <t>Microchip Technology</t>
  </si>
  <si>
    <t>8-SOIC N</t>
  </si>
  <si>
    <t>http://www.digikey.com/product-detail/en/24LC64-I%2FSN/24LC64-I%2FSN-ND/273428</t>
  </si>
  <si>
    <t>IC REG LDO ADJ 0.15A 8MSOP</t>
  </si>
  <si>
    <t>TXC CORPORATION</t>
  </si>
  <si>
    <t>7A-12.000MAAJ-T</t>
  </si>
  <si>
    <t>2-SMD</t>
  </si>
  <si>
    <t>http://www.digikey.com/product-detail/en/FDD8780/FDD8780CT-ND/1305821</t>
  </si>
  <si>
    <t>Q2 Q3</t>
  </si>
  <si>
    <t>DIODE TVS 12V 400W UNI 5% SMA</t>
  </si>
  <si>
    <t>SMAJ12A</t>
  </si>
  <si>
    <t>Littelfuse Inc</t>
  </si>
  <si>
    <t>SMA</t>
  </si>
  <si>
    <t>http://www.digikey.com/product-detail/en/SMAJ12A/SMAJ12ALFCT-ND/762482</t>
  </si>
  <si>
    <t>D1</t>
  </si>
  <si>
    <t>D2</t>
  </si>
  <si>
    <t>DIODE TRANSIL LOW VOLT SMB</t>
  </si>
  <si>
    <t>SMLVT3V3</t>
  </si>
  <si>
    <t>SMB</t>
  </si>
  <si>
    <t>http://www.digikey.com/product-detail/en/SMLVT3V3/497-2496-1-ND/603878</t>
  </si>
  <si>
    <t>J1</t>
  </si>
  <si>
    <t>J2</t>
  </si>
  <si>
    <t>CAP CER 0.1UF 16V 10% X7R 0603</t>
  </si>
  <si>
    <t>C0603C104K4RACTU</t>
  </si>
  <si>
    <t>http://www.digikey.com/product-detail/en/C0603C104K4RACTU/399-1096-1-ND/411371</t>
  </si>
  <si>
    <t>CAP CER 10000PF 50V 10% X7R 0603</t>
  </si>
  <si>
    <t>C0603C103K5RACTU</t>
  </si>
  <si>
    <t>http://www.digikey.com/product-detail/en/C0603C103K5RACTU/399-1091-1-ND/411366</t>
  </si>
  <si>
    <t>FDD8780</t>
  </si>
  <si>
    <t>MOSFET N-CH 25V 35A TO-252AA</t>
  </si>
  <si>
    <t>D-Pak</t>
  </si>
  <si>
    <t>Murata Electronics North America</t>
  </si>
  <si>
    <t>R9</t>
  </si>
  <si>
    <t>R2 R3</t>
  </si>
  <si>
    <t>RES 10.0 OHM 1/10W 1% 0603 SMD</t>
  </si>
  <si>
    <t>RC0603FR-0710RL</t>
  </si>
  <si>
    <t>Yageo</t>
  </si>
  <si>
    <t>http://www.digikey.com/product-detail/en/RC0603FR-0710RL/311-10.0HRCT-ND/729826</t>
  </si>
  <si>
    <t>R23 R24</t>
  </si>
  <si>
    <t>RES 39 OHM 1/10W 5% 0603 SMD</t>
  </si>
  <si>
    <t>RC0603JR-0739RL</t>
  </si>
  <si>
    <t>http://www.digikey.com/product-detail/en/RC0603JR-0739RL/311-39GRCT-ND/729726</t>
  </si>
  <si>
    <t>http://www.digikey.com/product-detail/en/RC0603FR-07220RL/311-220HRCT-ND/730008</t>
  </si>
  <si>
    <t>http://www.digikey.com/product-detail/en/ERJ-3EKF2700V/P270HCT-ND/1746751</t>
  </si>
  <si>
    <t>R10</t>
  </si>
  <si>
    <t>RES 680 OHM 1/10W 1% 0603 SMD</t>
  </si>
  <si>
    <t>RC0603FR-07680RL</t>
  </si>
  <si>
    <t>http://www.digikey.com/product-detail/en/RC0603FR-07680RL/311-680HRCT-ND/730302</t>
  </si>
  <si>
    <t>R4 R8</t>
  </si>
  <si>
    <t>ERJ-3EKF2001V</t>
  </si>
  <si>
    <t>http://www.digikey.com/product-detail/en/ERJ-3EKF2001V/P2.00KHCT-ND/198219</t>
  </si>
  <si>
    <t>ERJ-3EKF6801V</t>
  </si>
  <si>
    <t>http://www.digikey.com/product-detail/en/ERJ-3EKF6801V/P6.80KHCT-ND/1746802</t>
  </si>
  <si>
    <t>ERJ-3EKF1002V</t>
  </si>
  <si>
    <t>http://www.digikey.com/product-detail/en/ERJ-3EKF1002V/P10.0KHCT-ND/198102</t>
  </si>
  <si>
    <t>R13</t>
  </si>
  <si>
    <t>ERJ-3EKF1202V</t>
  </si>
  <si>
    <t>http://www.digikey.com/product-detail/en/ERJ-3EKF1202V/P12.0KHCT-ND/1746728</t>
  </si>
  <si>
    <t>R30 R31 R32 R33</t>
  </si>
  <si>
    <t>ERJ-3EKF4702V</t>
  </si>
  <si>
    <t>http://www.digikey.com/product-detail/en/ERJ-3EKF4702V/P47.0KHCT-ND/1746783</t>
  </si>
  <si>
    <t>RES 100K OHM 1/10W 1% 0603 SMD</t>
  </si>
  <si>
    <t>ERJ-3EKF1003V</t>
  </si>
  <si>
    <t>http://www.digikey.com/product-detail/en/ERJ-3EKF1003V/P100KHCT-ND/198110</t>
  </si>
  <si>
    <t>R11</t>
  </si>
  <si>
    <t>RES 120K OHM 1/10W 1% 0603 SMD</t>
  </si>
  <si>
    <t>ERJ-3EKF1203V</t>
  </si>
  <si>
    <t>http://www.digikey.com/product-detail/en/ERJ-3EKF1203V/P120KHCT-ND/1746729</t>
  </si>
  <si>
    <t>R7</t>
  </si>
  <si>
    <t>RES 390K OHM 1/10W 1% 0603 SMD</t>
  </si>
  <si>
    <t>RC0603FR-07390KL</t>
  </si>
  <si>
    <t>http://www.digikey.com/product-detail/en/RC0603FR-07390KL/311-390KHRCT-ND/730146</t>
  </si>
  <si>
    <t>RES 47K OHM 1/10W 1% 0603 SMD</t>
  </si>
  <si>
    <t>RES 12K OHM 1/10W 1% 0603 SMD</t>
  </si>
  <si>
    <t>RES 10K OHM 1/10W 1% 0603 SMD</t>
  </si>
  <si>
    <t>RES 6.8K OHM 1/10W 1% 0603 SMD</t>
  </si>
  <si>
    <t>RES 2K OHM 1/10W 1% 0603 SMD</t>
  </si>
  <si>
    <t>ERJ-3EKF2700V</t>
  </si>
  <si>
    <t>RES 270 OHM 1/10W 1% 0603 SMD</t>
  </si>
  <si>
    <t>RC0603FR-07220RL</t>
  </si>
  <si>
    <t>RES 220 OHM 1/10W 1% 0603 SMD</t>
  </si>
  <si>
    <t>CONN SMA JACK R/A 50 OHM PCB</t>
  </si>
  <si>
    <t>http://www.digikey.com/product-detail/en/SBH11-PBPC-D10-ST-BK/S9172-ND/1990065</t>
  </si>
  <si>
    <t>Sullins Connector Solutions</t>
  </si>
  <si>
    <t>SBH11-PBPC-D10-ST-BK</t>
  </si>
  <si>
    <t>CONN HEADER 2.54MM 20POS GOLD</t>
  </si>
  <si>
    <t>U6</t>
  </si>
  <si>
    <t>U11 (U23 U24 U25 U26)</t>
  </si>
  <si>
    <t>U18</t>
  </si>
  <si>
    <t>Molex Inc</t>
  </si>
  <si>
    <t>http://www.digikey.com/product-detail/en/0731000097/WM5276-ND/2713556</t>
  </si>
  <si>
    <t>U19</t>
  </si>
  <si>
    <t>U20</t>
  </si>
  <si>
    <t>5413879-1</t>
  </si>
  <si>
    <t>http://www.digikey.com/product-detail/en/5413879-1/A32273-ND/811171</t>
  </si>
  <si>
    <t>U17 U21</t>
  </si>
  <si>
    <t>L2</t>
  </si>
  <si>
    <t>D4</t>
  </si>
  <si>
    <t>D3 D6 D7 D8 D9</t>
  </si>
  <si>
    <t>R37 R44 R46 R48 R50</t>
  </si>
  <si>
    <t>CONN SMB JACK R/A 50 OHM PCB</t>
  </si>
  <si>
    <t>CONN BNC JACK R/A 50 OHM PCB</t>
  </si>
  <si>
    <t>http://www.digikey.com/product-detail/en/ERJ-6BWFR030V/P.03AQCT-ND/1466382</t>
  </si>
  <si>
    <t>ERJ-6BWFR030V</t>
  </si>
  <si>
    <t>RES 0.03 OHM 1/2W 1% 0805 SMD</t>
  </si>
  <si>
    <t>http://www.digikey.com/product-detail/en/SI2333CDS-T1-E3/SI2333CDS-T1-E3CT-ND/1978883</t>
  </si>
  <si>
    <t>Q1</t>
  </si>
  <si>
    <t>R14 R25</t>
  </si>
  <si>
    <t>USBLC6-2SC6</t>
  </si>
  <si>
    <t>IC ESD PROTECTION LO CAP SOT23-6</t>
  </si>
  <si>
    <t>SOT-23-6</t>
  </si>
  <si>
    <t>8-MSOP</t>
  </si>
  <si>
    <t>CRYSTAL 12MHZ 18PF SMD</t>
  </si>
  <si>
    <t>Vishay Siliconix</t>
  </si>
  <si>
    <t>SI2333CDS-T1-E3</t>
  </si>
  <si>
    <t>MOSFET P-CH 12V 7.1A SOT23-3</t>
  </si>
  <si>
    <t>SOT-23-3 (TO-236)</t>
  </si>
  <si>
    <t>http://www.digikey.com/product-detail/en/GRM188R60J106ME47D/490-3896-1-ND/965938</t>
  </si>
  <si>
    <t>http://www.digikey.com/product-detail/en/ATSAM3X8EA-AU/ATSAM3X8EA-AU-ND/3128687</t>
  </si>
  <si>
    <t>http://www.digikey.com/product-detail/en/C1608C0G1H220J080AA/445-1273-1-ND/567670</t>
  </si>
  <si>
    <t>C27 C28 C31 C47 C48</t>
  </si>
  <si>
    <t>C4 C12 C19 C23 C37 C45 C52 C53</t>
  </si>
  <si>
    <t>FB1 FB2 FB3 FB4</t>
  </si>
  <si>
    <t>http://www.digikey.com/product-detail/en/BLM18KG601SN1D/490-5258-1-ND/1982781</t>
  </si>
  <si>
    <t>ATSAM3X8EA-AU</t>
  </si>
  <si>
    <t>IC MCU 32BIT 512KB FLASH 144LQFP</t>
  </si>
  <si>
    <t>144-LQFP</t>
  </si>
  <si>
    <t>BLM18KG601SN1D</t>
  </si>
  <si>
    <t>FERRITE CHIP 600 OHM 1300MA 0603</t>
  </si>
  <si>
    <t>GRM188R60J106ME47D</t>
  </si>
  <si>
    <t>CAP CER 10UF 6.3V 20% X5R 0603</t>
  </si>
  <si>
    <t>C1608C0G1H220J080AA</t>
  </si>
  <si>
    <t>CAP CER 22PF 50V 5% NP0 0603</t>
  </si>
  <si>
    <t>http://www.digikey.com/product-detail/en/114-00841-68/114-00841-68-1-ND/2187101</t>
  </si>
  <si>
    <t>P1</t>
  </si>
  <si>
    <t>R12 R26 R43</t>
  </si>
  <si>
    <t>R36 R38 R39 R40 R41 R42 R45 R47 R49 R51</t>
  </si>
  <si>
    <t>R17 R18 R19 R20 R21 R22 R52</t>
  </si>
  <si>
    <t>Amphenol Commercial Products</t>
  </si>
  <si>
    <t>114-00841-68</t>
  </si>
  <si>
    <t>CONN MINI MICRO-SD 8PIN PCB GOLD</t>
  </si>
  <si>
    <t>http://www.digikey.com/product-detail/en/ERJ-3EKF1000V/P100HCT-ND/198109</t>
  </si>
  <si>
    <t>ERJ-3EKF1000V</t>
  </si>
  <si>
    <t>RES 100 OHM 1/10W 1% 0603 SMD</t>
  </si>
  <si>
    <t>http://www.digikey.com/product-detail/en/AOZ1280CI/785-1277-1-ND/2769845</t>
  </si>
  <si>
    <t>C5 C13 C22</t>
  </si>
  <si>
    <t>http://www.digikey.com/product-detail/en/NR6028T2R2N/587-2098-1-ND/1866238</t>
  </si>
  <si>
    <t>C3 C6 C18</t>
  </si>
  <si>
    <t>C1 C2</t>
  </si>
  <si>
    <t>C7 C8 C9 C10 C11 C14 C17 C21 C24 C25 C26 C29 C30 C32 C33 C34 C35 C36 C38 C39 C40 C41 C42 C43 C44 C46 C49 C50 C51</t>
  </si>
  <si>
    <t>R1 R6 R15 R16 R27 R28 R29 R34 R35</t>
  </si>
  <si>
    <t>http://www.digikey.com/product-detail/en/RC0603FR-0749K9L/311-49.9KHRCT-ND/730212</t>
  </si>
  <si>
    <t>R53</t>
  </si>
  <si>
    <t>http://www.digikey.com/product-detail/en/RC0603FR-0715K8L/311-15.8KHRCT-ND/729904</t>
  </si>
  <si>
    <t>R54</t>
  </si>
  <si>
    <t>Alpha &amp;amp; Omega Semiconductor Inc</t>
  </si>
  <si>
    <t>AOZ1280CI</t>
  </si>
  <si>
    <t>IC REG BUCK ADJ 1.2A SOT23-6</t>
  </si>
  <si>
    <t>NR6028T2R2N</t>
  </si>
  <si>
    <t>INDUCTOR 2.2UH 4.2A 30% SMD</t>
  </si>
  <si>
    <t>RC0603FR-0749K9L</t>
  </si>
  <si>
    <t>RES 49.9K OHM 1/10W 1% 0603 SMD</t>
  </si>
  <si>
    <t>RC0603FR-0715K8L</t>
  </si>
  <si>
    <t>RES 15.8K OHM 1/10W 1% 0603 SMD</t>
  </si>
  <si>
    <t>CONN HEADER 8POS .100 R/A 30AU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</si>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</sst>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6" fillId="2" borderId="19" xfId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3" fontId="7" fillId="2" borderId="1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4" fillId="2" borderId="20" xfId="2" applyFill="1" applyBorder="1" applyAlignment="1" applyProtection="1">
      <alignment horizontal="center" vertical="center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4" fillId="2" borderId="3" xfId="2" applyFill="1" applyBorder="1" applyAlignment="1" applyProtection="1">
      <alignment horizontal="center" vertic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2" borderId="5" xfId="2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7" fillId="2" borderId="14" xfId="1" applyFont="1" applyFill="1" applyBorder="1" applyAlignment="1">
      <alignment horizontal="center"/>
    </xf>
    <xf numFmtId="0" fontId="7" fillId="2" borderId="14" xfId="1" applyFont="1" applyFill="1" applyBorder="1" applyAlignment="1">
      <alignment horizontal="center" wrapText="1"/>
    </xf>
    <xf numFmtId="3" fontId="7" fillId="2" borderId="14" xfId="1" applyNumberFormat="1" applyFont="1" applyFill="1" applyBorder="1" applyAlignment="1">
      <alignment horizontal="center" wrapText="1"/>
    </xf>
    <xf numFmtId="0" fontId="4" fillId="2" borderId="3" xfId="2" applyFill="1" applyBorder="1" applyAlignment="1" applyProtection="1">
      <alignment horizontal="center"/>
    </xf>
    <xf numFmtId="0" fontId="4" fillId="2" borderId="20" xfId="2" applyFill="1" applyBorder="1" applyAlignment="1" applyProtection="1">
      <alignment horizont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2</xdr:row>
          <xdr:rowOff>57150</xdr:rowOff>
        </xdr:from>
        <xdr:to>
          <xdr:col>10</xdr:col>
          <xdr:colOff>200025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USBLC6-2SC6/497-5235-1-ND/1121688" TargetMode="External"/><Relationship Id="rId18" Type="http://schemas.openxmlformats.org/officeDocument/2006/relationships/hyperlink" Target="http://www.digikey.com/product-detail/en/SN65LVDM176DGK/296-6903-5-ND/371612" TargetMode="External"/><Relationship Id="rId26" Type="http://schemas.openxmlformats.org/officeDocument/2006/relationships/hyperlink" Target="http://www.digikey.com/product-detail/en/ERJ-6BWFR030V/P.03AQCT-ND/1466382" TargetMode="External"/><Relationship Id="rId39" Type="http://schemas.openxmlformats.org/officeDocument/2006/relationships/hyperlink" Target="http://www.digikey.com/product-detail/en/RC0603FR-07390KL/311-390KHRCT-ND/730146" TargetMode="External"/><Relationship Id="rId21" Type="http://schemas.openxmlformats.org/officeDocument/2006/relationships/hyperlink" Target="http://www.digikey.com/product-detail/en/SBH11-PBPC-D10-ST-BK/S9172-ND/1990065" TargetMode="External"/><Relationship Id="rId34" Type="http://schemas.openxmlformats.org/officeDocument/2006/relationships/hyperlink" Target="http://www.digikey.com/product-detail/en/ERJ-3EKF1002V/P10.0KHCT-ND/198102" TargetMode="External"/><Relationship Id="rId42" Type="http://schemas.openxmlformats.org/officeDocument/2006/relationships/hyperlink" Target="http://www.digikey.com/product-detail/en/5650478-5/A32298-ND/811088" TargetMode="External"/><Relationship Id="rId47" Type="http://schemas.openxmlformats.org/officeDocument/2006/relationships/hyperlink" Target="http://www.digikey.com/product-detail/en/SI2333CDS-T1-E3/SI2333CDS-T1-E3CT-ND/1978883" TargetMode="External"/><Relationship Id="rId50" Type="http://schemas.openxmlformats.org/officeDocument/2006/relationships/hyperlink" Target="http://www.digikey.com/product-detail/en/RC0603FR-0715K8L/311-15.8KHRCT-ND/729904" TargetMode="External"/><Relationship Id="rId7" Type="http://schemas.openxmlformats.org/officeDocument/2006/relationships/hyperlink" Target="http://www.digikey.com/product-detail/en/BLM18KG601SN1D/490-5258-1-ND/1982781" TargetMode="External"/><Relationship Id="rId2" Type="http://schemas.openxmlformats.org/officeDocument/2006/relationships/hyperlink" Target="http://www.digikey.com/product-detail/en/NR6028T2R2N/587-2098-1-ND/1866238" TargetMode="External"/><Relationship Id="rId16" Type="http://schemas.openxmlformats.org/officeDocument/2006/relationships/hyperlink" Target="http://www.digikey.com/product-detail/en/ATSAM3X8EA-AU/ATSAM3X8EA-AU-ND/3128687" TargetMode="External"/><Relationship Id="rId29" Type="http://schemas.openxmlformats.org/officeDocument/2006/relationships/hyperlink" Target="http://www.digikey.com/product-detail/en/RC0603FR-07220RL/311-220HRCT-ND/730008" TargetMode="External"/><Relationship Id="rId11" Type="http://schemas.openxmlformats.org/officeDocument/2006/relationships/hyperlink" Target="http://www.digikey.com/product-detail/en/MAX5925DEUB%2B/MAX5925DEUB%2B-ND/1937487" TargetMode="External"/><Relationship Id="rId24" Type="http://schemas.openxmlformats.org/officeDocument/2006/relationships/hyperlink" Target="http://www.digikey.com/product-detail/en/C0603C103K5RACTU/399-1091-1-ND/411366" TargetMode="External"/><Relationship Id="rId32" Type="http://schemas.openxmlformats.org/officeDocument/2006/relationships/hyperlink" Target="http://www.digikey.com/product-detail/en/ERJ-3EKF2001V/P2.00KHCT-ND/198219" TargetMode="External"/><Relationship Id="rId37" Type="http://schemas.openxmlformats.org/officeDocument/2006/relationships/hyperlink" Target="http://www.digikey.com/product-detail/en/ERJ-3EKF1003V/P100KHCT-ND/198110" TargetMode="External"/><Relationship Id="rId40" Type="http://schemas.openxmlformats.org/officeDocument/2006/relationships/hyperlink" Target="http://www.digikey.com/product-detail/en/FSMRA7JH/450-1661-ND/1632547" TargetMode="External"/><Relationship Id="rId45" Type="http://schemas.openxmlformats.org/officeDocument/2006/relationships/hyperlink" Target="http://www.digikey.com/product-detail/en/5413879-1/A32273-ND/811171" TargetMode="External"/><Relationship Id="rId53" Type="http://schemas.openxmlformats.org/officeDocument/2006/relationships/vmlDrawing" Target="../drawings/vmlDrawing1.vml"/><Relationship Id="rId5" Type="http://schemas.openxmlformats.org/officeDocument/2006/relationships/hyperlink" Target="http://www.digikey.com/product-detail/en/SMLVT3V3/497-2496-1-ND/603878" TargetMode="External"/><Relationship Id="rId10" Type="http://schemas.openxmlformats.org/officeDocument/2006/relationships/hyperlink" Target="http://www.digikey.com/product-detail/en/MAX5924DEUB%2B/MAX5924DEUB%2B-ND/1937481" TargetMode="External"/><Relationship Id="rId19" Type="http://schemas.openxmlformats.org/officeDocument/2006/relationships/hyperlink" Target="http://www.digikey.com/product-detail/en/FDD8780/FDD8780CT-ND/1305821" TargetMode="External"/><Relationship Id="rId31" Type="http://schemas.openxmlformats.org/officeDocument/2006/relationships/hyperlink" Target="http://www.digikey.com/product-detail/en/RC0603FR-07680RL/311-680HRCT-ND/730302" TargetMode="External"/><Relationship Id="rId44" Type="http://schemas.openxmlformats.org/officeDocument/2006/relationships/hyperlink" Target="http://www.digikey.com/product-detail/en/132203/ACX1234-ND/1011911" TargetMode="External"/><Relationship Id="rId52" Type="http://schemas.openxmlformats.org/officeDocument/2006/relationships/drawing" Target="../drawings/drawing1.xml"/><Relationship Id="rId4" Type="http://schemas.openxmlformats.org/officeDocument/2006/relationships/hyperlink" Target="http://www.digikey.com/product-detail/en/EMK107B7105KA-T/587-1241-1-ND/931018" TargetMode="External"/><Relationship Id="rId9" Type="http://schemas.openxmlformats.org/officeDocument/2006/relationships/hyperlink" Target="http://www.digikey.com/product-detail/en/7A-12.000MAAJ-T/887-1081-1-ND/2118958" TargetMode="External"/><Relationship Id="rId14" Type="http://schemas.openxmlformats.org/officeDocument/2006/relationships/hyperlink" Target="http://www.digikey.com/product-detail/en/TPS7A4901DGNR/296-27751-1-ND/2361068" TargetMode="External"/><Relationship Id="rId22" Type="http://schemas.openxmlformats.org/officeDocument/2006/relationships/hyperlink" Target="http://www.digikey.com/product-detail/en/114-00841-68/114-00841-68-1-ND/2187101" TargetMode="External"/><Relationship Id="rId27" Type="http://schemas.openxmlformats.org/officeDocument/2006/relationships/hyperlink" Target="http://www.digikey.com/product-detail/en/RC0603FR-0710RL/311-10.0HRCT-ND/729826" TargetMode="External"/><Relationship Id="rId30" Type="http://schemas.openxmlformats.org/officeDocument/2006/relationships/hyperlink" Target="http://www.digikey.com/product-detail/en/ERJ-3EKF2700V/P270HCT-ND/1746751" TargetMode="External"/><Relationship Id="rId35" Type="http://schemas.openxmlformats.org/officeDocument/2006/relationships/hyperlink" Target="http://www.digikey.com/product-detail/en/ERJ-3EKF1202V/P12.0KHCT-ND/1746728" TargetMode="External"/><Relationship Id="rId43" Type="http://schemas.openxmlformats.org/officeDocument/2006/relationships/hyperlink" Target="http://www.digikey.com/product-detail/en/0731000097/WM5276-ND/2713556" TargetMode="External"/><Relationship Id="rId48" Type="http://schemas.openxmlformats.org/officeDocument/2006/relationships/hyperlink" Target="http://www.digikey.com/product-detail/en/GRM188R60J106ME47D/490-3896-1-ND/965938" TargetMode="External"/><Relationship Id="rId8" Type="http://schemas.openxmlformats.org/officeDocument/2006/relationships/hyperlink" Target="http://www.digikey.com/product-detail/en/ABS25-32.768KHZ-T/535-9166-1-ND/675683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C2012X5R1C226K/445-6797-1-ND/2524879" TargetMode="External"/><Relationship Id="rId12" Type="http://schemas.openxmlformats.org/officeDocument/2006/relationships/hyperlink" Target="http://www.digikey.com/product-detail/en/24LC64-I%2FSN/24LC64-I%2FSN-ND/273428" TargetMode="External"/><Relationship Id="rId17" Type="http://schemas.openxmlformats.org/officeDocument/2006/relationships/hyperlink" Target="http://www.digikey.com/product-detail/en/SN74LVC2G240DCTR/296-15588-1-ND/571169" TargetMode="External"/><Relationship Id="rId25" Type="http://schemas.openxmlformats.org/officeDocument/2006/relationships/hyperlink" Target="http://www.digikey.com/product-detail/en/C1608C0G1H220J080AA/445-1273-1-ND/567670" TargetMode="External"/><Relationship Id="rId33" Type="http://schemas.openxmlformats.org/officeDocument/2006/relationships/hyperlink" Target="http://www.digikey.com/product-detail/en/ERJ-3EKF6801V/P6.80KHCT-ND/1746802" TargetMode="External"/><Relationship Id="rId38" Type="http://schemas.openxmlformats.org/officeDocument/2006/relationships/hyperlink" Target="http://www.digikey.com/product-detail/en/ERJ-3EKF1203V/P120KHCT-ND/1746729" TargetMode="External"/><Relationship Id="rId46" Type="http://schemas.openxmlformats.org/officeDocument/2006/relationships/hyperlink" Target="http://www.digikey.com/product-detail/en/CLV1A-FKB-CJ1M1F1BB7R4S3/CLV1A-FKB-CJ1M1F1BB7R4S3CT-ND/1987488" TargetMode="External"/><Relationship Id="rId20" Type="http://schemas.openxmlformats.org/officeDocument/2006/relationships/hyperlink" Target="http://www.digikey.com/product-detail/en/SMAJ12A/SMAJ12ALFCT-ND/762482" TargetMode="External"/><Relationship Id="rId41" Type="http://schemas.openxmlformats.org/officeDocument/2006/relationships/hyperlink" Target="http://www.digikey.com/product-detail/en/RLP1-600-800/492-1454-ND/2875081" TargetMode="External"/><Relationship Id="rId54" Type="http://schemas.openxmlformats.org/officeDocument/2006/relationships/ctrlProp" Target="../ctrlProps/ctrlProp1.xml"/><Relationship Id="rId1" Type="http://schemas.openxmlformats.org/officeDocument/2006/relationships/hyperlink" Target="http://www.digikey.com/product-detail/en/ERJ-3EKF1000V/P100HCT-ND/198109" TargetMode="External"/><Relationship Id="rId6" Type="http://schemas.openxmlformats.org/officeDocument/2006/relationships/hyperlink" Target="http://www.digikey.com/product-detail/en/MBRS340T3G/MBRS340T3GOSCT-ND/918009" TargetMode="External"/><Relationship Id="rId15" Type="http://schemas.openxmlformats.org/officeDocument/2006/relationships/hyperlink" Target="http://www.digikey.com/product-detail/en/AOZ1280CI/785-1277-1-ND/2769845" TargetMode="External"/><Relationship Id="rId23" Type="http://schemas.openxmlformats.org/officeDocument/2006/relationships/hyperlink" Target="http://www.digikey.com/product-detail/en/C0603C104K4RACTU/399-1096-1-ND/411371" TargetMode="External"/><Relationship Id="rId28" Type="http://schemas.openxmlformats.org/officeDocument/2006/relationships/hyperlink" Target="http://www.digikey.com/product-detail/en/RC0603JR-0739RL/311-39GRCT-ND/729726" TargetMode="External"/><Relationship Id="rId36" Type="http://schemas.openxmlformats.org/officeDocument/2006/relationships/hyperlink" Target="http://www.digikey.com/product-detail/en/ERJ-3EKF4702V/P47.0KHCT-ND/1746783" TargetMode="External"/><Relationship Id="rId49" Type="http://schemas.openxmlformats.org/officeDocument/2006/relationships/hyperlink" Target="http://www.digikey.com/product-detail/en/RC0603FR-0749K9L/311-49.9KHRCT-ND/7302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68"/>
  <sheetViews>
    <sheetView tabSelected="1" zoomScale="115" zoomScaleNormal="115" workbookViewId="0">
      <selection activeCell="J17" sqref="J17"/>
    </sheetView>
  </sheetViews>
  <sheetFormatPr baseColWidth="10" defaultRowHeight="15" x14ac:dyDescent="0.25"/>
  <cols>
    <col min="1" max="1" width="1.85546875" style="27" customWidth="1"/>
    <col min="2" max="2" width="5.140625" style="27" customWidth="1"/>
    <col min="3" max="3" width="40.5703125" style="27" bestFit="1" customWidth="1"/>
    <col min="4" max="4" width="5.85546875" style="27" customWidth="1"/>
    <col min="5" max="5" width="10.7109375" style="27" customWidth="1"/>
    <col min="6" max="6" width="11" style="27" customWidth="1"/>
    <col min="7" max="7" width="8.85546875" style="27" customWidth="1"/>
    <col min="8" max="8" width="33.140625" style="27" customWidth="1"/>
    <col min="9" max="9" width="23.42578125" style="27" customWidth="1"/>
    <col min="10" max="10" width="26.140625" style="27" customWidth="1"/>
    <col min="11" max="11" width="23.140625" style="27" bestFit="1" customWidth="1"/>
    <col min="12" max="12" width="119.140625" style="27" bestFit="1" customWidth="1"/>
    <col min="13" max="16384" width="11.42578125" style="27"/>
  </cols>
  <sheetData>
    <row r="2" spans="1:14" ht="23.25" customHeight="1" x14ac:dyDescent="0.25">
      <c r="B2" s="45" t="s">
        <v>8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28"/>
      <c r="N2" s="28"/>
    </row>
    <row r="3" spans="1:14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</row>
    <row r="4" spans="1:14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</row>
    <row r="5" spans="1:14" x14ac:dyDescent="0.25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15.75" thickBot="1" x14ac:dyDescent="0.3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</row>
    <row r="7" spans="1:14" ht="15.75" thickBot="1" x14ac:dyDescent="0.3">
      <c r="B7" s="29"/>
      <c r="C7" s="30" t="s">
        <v>9</v>
      </c>
      <c r="D7" s="31">
        <v>10</v>
      </c>
      <c r="E7" s="29"/>
      <c r="F7" s="29"/>
      <c r="G7" s="29"/>
      <c r="H7" s="29"/>
      <c r="I7" s="29"/>
      <c r="J7" s="29"/>
      <c r="K7" s="29"/>
      <c r="L7" s="29"/>
    </row>
    <row r="8" spans="1:14" ht="19.5" customHeight="1" x14ac:dyDescent="0.25">
      <c r="B8" s="6" t="s">
        <v>0</v>
      </c>
      <c r="C8" s="14" t="s">
        <v>7</v>
      </c>
      <c r="D8" s="7" t="s">
        <v>1</v>
      </c>
      <c r="E8" s="7" t="s">
        <v>12</v>
      </c>
      <c r="F8" s="7" t="s">
        <v>10</v>
      </c>
      <c r="G8" s="7" t="s">
        <v>11</v>
      </c>
      <c r="H8" s="7" t="s">
        <v>2</v>
      </c>
      <c r="I8" s="7" t="s">
        <v>3</v>
      </c>
      <c r="J8" s="7" t="s">
        <v>4</v>
      </c>
      <c r="K8" s="7" t="s">
        <v>6</v>
      </c>
      <c r="L8" s="8" t="s">
        <v>5</v>
      </c>
    </row>
    <row r="9" spans="1:14" x14ac:dyDescent="0.25">
      <c r="A9" s="32"/>
      <c r="B9" s="11">
        <v>1</v>
      </c>
      <c r="C9" s="15" t="s">
        <v>88</v>
      </c>
      <c r="D9" s="18">
        <v>1</v>
      </c>
      <c r="E9" s="19">
        <v>4.7380000000000004</v>
      </c>
      <c r="F9" s="9">
        <f>D9*E9</f>
        <v>4.7380000000000004</v>
      </c>
      <c r="G9" s="2">
        <v>91</v>
      </c>
      <c r="H9" s="19" t="s">
        <v>89</v>
      </c>
      <c r="I9" s="19" t="s">
        <v>90</v>
      </c>
      <c r="J9" s="18" t="s">
        <v>33</v>
      </c>
      <c r="K9" s="19" t="s">
        <v>91</v>
      </c>
      <c r="L9" s="13" t="s">
        <v>92</v>
      </c>
    </row>
    <row r="10" spans="1:14" x14ac:dyDescent="0.25">
      <c r="A10" s="32"/>
      <c r="B10" s="11">
        <v>2</v>
      </c>
      <c r="C10" s="15" t="s">
        <v>93</v>
      </c>
      <c r="D10" s="9">
        <v>1</v>
      </c>
      <c r="E10" s="10">
        <v>7.7229999999999999</v>
      </c>
      <c r="F10" s="9">
        <f>D10*E10</f>
        <v>7.7229999999999999</v>
      </c>
      <c r="G10" s="10">
        <v>112</v>
      </c>
      <c r="H10" s="10" t="s">
        <v>89</v>
      </c>
      <c r="I10" s="10" t="s">
        <v>94</v>
      </c>
      <c r="J10" s="9" t="s">
        <v>33</v>
      </c>
      <c r="K10" s="10" t="s">
        <v>91</v>
      </c>
      <c r="L10" s="13" t="s">
        <v>95</v>
      </c>
    </row>
    <row r="11" spans="1:14" x14ac:dyDescent="0.25">
      <c r="A11" s="32"/>
      <c r="B11" s="11">
        <v>3</v>
      </c>
      <c r="C11" s="15" t="s">
        <v>96</v>
      </c>
      <c r="D11" s="18">
        <v>1</v>
      </c>
      <c r="E11" s="19">
        <v>0.38</v>
      </c>
      <c r="F11" s="9">
        <f>D11*E11</f>
        <v>0.38</v>
      </c>
      <c r="G11" s="2">
        <v>20643</v>
      </c>
      <c r="H11" s="19" t="s">
        <v>97</v>
      </c>
      <c r="I11" s="19" t="s">
        <v>98</v>
      </c>
      <c r="J11" s="18" t="s">
        <v>99</v>
      </c>
      <c r="K11" s="19" t="s">
        <v>100</v>
      </c>
      <c r="L11" s="13" t="s">
        <v>101</v>
      </c>
    </row>
    <row r="12" spans="1:14" x14ac:dyDescent="0.25">
      <c r="A12" s="32"/>
      <c r="B12" s="11">
        <v>4</v>
      </c>
      <c r="C12" s="15" t="s">
        <v>81</v>
      </c>
      <c r="D12" s="18">
        <v>1</v>
      </c>
      <c r="E12" s="19">
        <v>0.83899999999999997</v>
      </c>
      <c r="F12" s="9">
        <f>D12*E12</f>
        <v>0.83899999999999997</v>
      </c>
      <c r="G12" s="2">
        <v>14553</v>
      </c>
      <c r="H12" s="19" t="s">
        <v>208</v>
      </c>
      <c r="I12" s="19" t="s">
        <v>207</v>
      </c>
      <c r="J12" s="18" t="s">
        <v>82</v>
      </c>
      <c r="K12" s="19" t="s">
        <v>209</v>
      </c>
      <c r="L12" s="13" t="s">
        <v>83</v>
      </c>
    </row>
    <row r="13" spans="1:14" x14ac:dyDescent="0.25">
      <c r="A13" s="32"/>
      <c r="B13" s="11">
        <v>5</v>
      </c>
      <c r="C13" s="15" t="s">
        <v>84</v>
      </c>
      <c r="D13" s="18">
        <v>1</v>
      </c>
      <c r="E13" s="19">
        <v>2.851</v>
      </c>
      <c r="F13" s="9">
        <f>D13*E13</f>
        <v>2.851</v>
      </c>
      <c r="G13" s="2">
        <v>10808</v>
      </c>
      <c r="H13" s="19" t="s">
        <v>102</v>
      </c>
      <c r="I13" s="19" t="s">
        <v>85</v>
      </c>
      <c r="J13" s="18" t="s">
        <v>36</v>
      </c>
      <c r="K13" s="19" t="s">
        <v>86</v>
      </c>
      <c r="L13" s="13" t="s">
        <v>87</v>
      </c>
    </row>
    <row r="14" spans="1:14" x14ac:dyDescent="0.25">
      <c r="A14" s="32"/>
      <c r="B14" s="11">
        <v>6</v>
      </c>
      <c r="C14" s="15" t="s">
        <v>185</v>
      </c>
      <c r="D14" s="18">
        <v>1</v>
      </c>
      <c r="E14" s="19">
        <v>0.7</v>
      </c>
      <c r="F14" s="9">
        <f>D14*E14</f>
        <v>0.7</v>
      </c>
      <c r="G14" s="2">
        <v>11109</v>
      </c>
      <c r="H14" s="19" t="s">
        <v>256</v>
      </c>
      <c r="I14" s="19" t="s">
        <v>255</v>
      </c>
      <c r="J14" s="18" t="s">
        <v>254</v>
      </c>
      <c r="K14" s="19" t="s">
        <v>209</v>
      </c>
      <c r="L14" s="13" t="s">
        <v>243</v>
      </c>
    </row>
    <row r="15" spans="1:14" x14ac:dyDescent="0.25">
      <c r="A15" s="32"/>
      <c r="B15" s="11">
        <v>7</v>
      </c>
      <c r="C15" s="15" t="s">
        <v>79</v>
      </c>
      <c r="D15" s="9">
        <v>1</v>
      </c>
      <c r="E15" s="10">
        <v>13.2</v>
      </c>
      <c r="F15" s="9">
        <f>D15*E15</f>
        <v>13.2</v>
      </c>
      <c r="G15" s="3"/>
      <c r="H15" s="10" t="s">
        <v>224</v>
      </c>
      <c r="I15" s="10" t="s">
        <v>223</v>
      </c>
      <c r="J15" s="9" t="s">
        <v>80</v>
      </c>
      <c r="K15" s="10" t="s">
        <v>225</v>
      </c>
      <c r="L15" s="13" t="s">
        <v>217</v>
      </c>
    </row>
    <row r="16" spans="1:14" x14ac:dyDescent="0.25">
      <c r="A16" s="32"/>
      <c r="B16" s="11">
        <v>8</v>
      </c>
      <c r="C16" s="15" t="s">
        <v>74</v>
      </c>
      <c r="D16" s="18">
        <v>1</v>
      </c>
      <c r="E16" s="19">
        <v>0.53600000000000003</v>
      </c>
      <c r="F16" s="18">
        <f>D16*E16</f>
        <v>0.53600000000000003</v>
      </c>
      <c r="G16" s="2">
        <v>6522</v>
      </c>
      <c r="H16" s="19" t="s">
        <v>75</v>
      </c>
      <c r="I16" s="19" t="s">
        <v>76</v>
      </c>
      <c r="J16" s="18" t="s">
        <v>36</v>
      </c>
      <c r="K16" s="19" t="s">
        <v>77</v>
      </c>
      <c r="L16" s="13" t="s">
        <v>78</v>
      </c>
    </row>
    <row r="17" spans="1:12" x14ac:dyDescent="0.25">
      <c r="A17" s="32"/>
      <c r="B17" s="11">
        <v>9</v>
      </c>
      <c r="C17" s="15" t="s">
        <v>40</v>
      </c>
      <c r="D17" s="18">
        <v>1</v>
      </c>
      <c r="E17" s="19">
        <v>3.7749999999999999</v>
      </c>
      <c r="F17" s="9">
        <f>D17*E17</f>
        <v>3.7749999999999999</v>
      </c>
      <c r="G17" s="2">
        <v>14103</v>
      </c>
      <c r="H17" s="19" t="s">
        <v>42</v>
      </c>
      <c r="I17" s="19" t="s">
        <v>41</v>
      </c>
      <c r="J17" s="18" t="s">
        <v>36</v>
      </c>
      <c r="K17" s="19" t="s">
        <v>210</v>
      </c>
      <c r="L17" s="13" t="s">
        <v>39</v>
      </c>
    </row>
    <row r="18" spans="1:12" x14ac:dyDescent="0.25">
      <c r="A18" s="32"/>
      <c r="B18" s="1">
        <v>10</v>
      </c>
      <c r="C18" s="15" t="s">
        <v>70</v>
      </c>
      <c r="D18" s="40">
        <v>1</v>
      </c>
      <c r="E18" s="41">
        <v>0.189</v>
      </c>
      <c r="F18" s="40">
        <f>D18*E18</f>
        <v>0.189</v>
      </c>
      <c r="G18" s="42">
        <v>34331</v>
      </c>
      <c r="H18" s="19" t="s">
        <v>71</v>
      </c>
      <c r="I18" s="19" t="s">
        <v>72</v>
      </c>
      <c r="J18" s="18" t="s">
        <v>58</v>
      </c>
      <c r="K18" s="19"/>
      <c r="L18" s="43" t="s">
        <v>73</v>
      </c>
    </row>
    <row r="19" spans="1:12" x14ac:dyDescent="0.25">
      <c r="A19" s="32"/>
      <c r="B19" s="1">
        <v>11</v>
      </c>
      <c r="C19" s="15" t="s">
        <v>186</v>
      </c>
      <c r="D19" s="40">
        <v>5</v>
      </c>
      <c r="E19" s="41">
        <v>0.87319999999999998</v>
      </c>
      <c r="F19" s="40">
        <f>D19*E19</f>
        <v>4.3659999999999997</v>
      </c>
      <c r="G19" s="42">
        <v>1130</v>
      </c>
      <c r="H19" s="19" t="s">
        <v>61</v>
      </c>
      <c r="I19" s="19" t="s">
        <v>62</v>
      </c>
      <c r="J19" s="18" t="s">
        <v>63</v>
      </c>
      <c r="K19" s="19"/>
      <c r="L19" s="43" t="s">
        <v>64</v>
      </c>
    </row>
    <row r="20" spans="1:12" x14ac:dyDescent="0.25">
      <c r="A20" s="32"/>
      <c r="B20" s="1">
        <v>12</v>
      </c>
      <c r="C20" s="15" t="s">
        <v>60</v>
      </c>
      <c r="D20" s="40">
        <v>1</v>
      </c>
      <c r="E20" s="41">
        <v>3.48</v>
      </c>
      <c r="F20" s="40">
        <f>D20*E20</f>
        <v>3.48</v>
      </c>
      <c r="G20" s="42">
        <v>1092</v>
      </c>
      <c r="H20" s="19" t="s">
        <v>56</v>
      </c>
      <c r="I20" s="19" t="s">
        <v>57</v>
      </c>
      <c r="J20" s="18" t="s">
        <v>58</v>
      </c>
      <c r="K20" s="19"/>
      <c r="L20" s="43" t="s">
        <v>59</v>
      </c>
    </row>
    <row r="21" spans="1:12" x14ac:dyDescent="0.25">
      <c r="A21" s="32"/>
      <c r="B21" s="1">
        <v>13</v>
      </c>
      <c r="C21" s="17" t="s">
        <v>187</v>
      </c>
      <c r="D21" s="40">
        <v>1</v>
      </c>
      <c r="E21" s="41">
        <v>5.7850000000000001</v>
      </c>
      <c r="F21" s="40">
        <f>D21*E21</f>
        <v>5.7850000000000001</v>
      </c>
      <c r="G21" s="42">
        <v>280</v>
      </c>
      <c r="H21" s="19" t="s">
        <v>199</v>
      </c>
      <c r="I21" s="19">
        <v>731000097</v>
      </c>
      <c r="J21" s="18" t="s">
        <v>188</v>
      </c>
      <c r="K21" s="19"/>
      <c r="L21" s="44" t="s">
        <v>189</v>
      </c>
    </row>
    <row r="22" spans="1:12" x14ac:dyDescent="0.25">
      <c r="A22" s="32"/>
      <c r="B22" s="1">
        <v>14</v>
      </c>
      <c r="C22" s="15" t="s">
        <v>190</v>
      </c>
      <c r="D22" s="40">
        <v>1</v>
      </c>
      <c r="E22" s="41">
        <v>9.2170000000000005</v>
      </c>
      <c r="F22" s="40">
        <f>D22*E22</f>
        <v>9.2170000000000005</v>
      </c>
      <c r="G22" s="42">
        <v>1797</v>
      </c>
      <c r="H22" s="19" t="s">
        <v>180</v>
      </c>
      <c r="I22" s="19">
        <v>132203</v>
      </c>
      <c r="J22" s="18" t="s">
        <v>54</v>
      </c>
      <c r="K22" s="19"/>
      <c r="L22" s="43" t="s">
        <v>55</v>
      </c>
    </row>
    <row r="23" spans="1:12" x14ac:dyDescent="0.25">
      <c r="A23" s="32"/>
      <c r="B23" s="1">
        <v>15</v>
      </c>
      <c r="C23" s="17" t="s">
        <v>191</v>
      </c>
      <c r="D23" s="40">
        <v>1</v>
      </c>
      <c r="E23" s="41">
        <v>6.532</v>
      </c>
      <c r="F23" s="40">
        <f>D23*E23</f>
        <v>6.532</v>
      </c>
      <c r="G23" s="42">
        <v>373</v>
      </c>
      <c r="H23" s="19" t="s">
        <v>200</v>
      </c>
      <c r="I23" s="19" t="s">
        <v>192</v>
      </c>
      <c r="J23" s="18" t="s">
        <v>58</v>
      </c>
      <c r="K23" s="19"/>
      <c r="L23" s="44" t="s">
        <v>193</v>
      </c>
    </row>
    <row r="24" spans="1:12" x14ac:dyDescent="0.25">
      <c r="A24" s="32"/>
      <c r="B24" s="1">
        <v>16</v>
      </c>
      <c r="C24" s="15" t="s">
        <v>49</v>
      </c>
      <c r="D24" s="18">
        <v>1</v>
      </c>
      <c r="E24" s="19">
        <v>0.65800000000000003</v>
      </c>
      <c r="F24" s="18">
        <f>D24*E24</f>
        <v>0.65800000000000003</v>
      </c>
      <c r="G24" s="2">
        <v>13917</v>
      </c>
      <c r="H24" s="19" t="s">
        <v>211</v>
      </c>
      <c r="I24" s="19" t="s">
        <v>104</v>
      </c>
      <c r="J24" s="18" t="s">
        <v>103</v>
      </c>
      <c r="K24" s="19" t="s">
        <v>105</v>
      </c>
      <c r="L24" s="13" t="s">
        <v>50</v>
      </c>
    </row>
    <row r="25" spans="1:12" x14ac:dyDescent="0.25">
      <c r="A25" s="32"/>
      <c r="B25" s="1">
        <v>17</v>
      </c>
      <c r="C25" s="15" t="s">
        <v>48</v>
      </c>
      <c r="D25" s="18">
        <v>1</v>
      </c>
      <c r="E25" s="19">
        <v>0.624</v>
      </c>
      <c r="F25" s="18">
        <f>D25*E25</f>
        <v>0.624</v>
      </c>
      <c r="G25" s="2">
        <v>106670</v>
      </c>
      <c r="H25" s="19" t="s">
        <v>43</v>
      </c>
      <c r="I25" s="19" t="s">
        <v>44</v>
      </c>
      <c r="J25" s="18" t="s">
        <v>45</v>
      </c>
      <c r="K25" s="19" t="s">
        <v>46</v>
      </c>
      <c r="L25" s="13" t="s">
        <v>47</v>
      </c>
    </row>
    <row r="26" spans="1:12" x14ac:dyDescent="0.25">
      <c r="A26" s="32"/>
      <c r="B26" s="1">
        <v>18</v>
      </c>
      <c r="C26" s="15" t="s">
        <v>119</v>
      </c>
      <c r="D26" s="18">
        <v>1</v>
      </c>
      <c r="E26" s="19">
        <v>0.52800000000000002</v>
      </c>
      <c r="F26" s="18">
        <f>D26*E26</f>
        <v>0.52800000000000002</v>
      </c>
      <c r="G26" s="2">
        <v>12909</v>
      </c>
      <c r="H26" s="19" t="s">
        <v>184</v>
      </c>
      <c r="I26" s="19" t="s">
        <v>183</v>
      </c>
      <c r="J26" s="18" t="s">
        <v>182</v>
      </c>
      <c r="K26" s="19"/>
      <c r="L26" s="13" t="s">
        <v>181</v>
      </c>
    </row>
    <row r="27" spans="1:12" x14ac:dyDescent="0.25">
      <c r="A27" s="32"/>
      <c r="B27" s="1">
        <v>19</v>
      </c>
      <c r="C27" s="15" t="s">
        <v>120</v>
      </c>
      <c r="D27" s="18">
        <v>1</v>
      </c>
      <c r="E27" s="19">
        <v>1.5049999999999999</v>
      </c>
      <c r="F27" s="9">
        <f>D27*E27</f>
        <v>1.5049999999999999</v>
      </c>
      <c r="G27" s="2">
        <v>12253</v>
      </c>
      <c r="H27" s="19" t="s">
        <v>239</v>
      </c>
      <c r="I27" s="19" t="s">
        <v>238</v>
      </c>
      <c r="J27" s="18" t="s">
        <v>237</v>
      </c>
      <c r="K27" s="19"/>
      <c r="L27" s="4" t="s">
        <v>232</v>
      </c>
    </row>
    <row r="28" spans="1:12" x14ac:dyDescent="0.25">
      <c r="A28" s="32"/>
      <c r="B28" s="1">
        <v>20</v>
      </c>
      <c r="C28" s="15" t="s">
        <v>221</v>
      </c>
      <c r="D28" s="18">
        <v>4</v>
      </c>
      <c r="E28" s="19">
        <v>8.6999999999999994E-2</v>
      </c>
      <c r="F28" s="18">
        <f>D28*E28</f>
        <v>0.34799999999999998</v>
      </c>
      <c r="G28" s="2">
        <v>113888</v>
      </c>
      <c r="H28" s="19" t="s">
        <v>227</v>
      </c>
      <c r="I28" s="19" t="s">
        <v>226</v>
      </c>
      <c r="J28" s="18" t="s">
        <v>130</v>
      </c>
      <c r="K28" s="19" t="s">
        <v>30</v>
      </c>
      <c r="L28" s="13" t="s">
        <v>222</v>
      </c>
    </row>
    <row r="29" spans="1:12" x14ac:dyDescent="0.25">
      <c r="A29" s="32"/>
      <c r="B29" s="1">
        <v>21</v>
      </c>
      <c r="C29" s="15" t="s">
        <v>195</v>
      </c>
      <c r="D29" s="18">
        <v>1</v>
      </c>
      <c r="E29" s="19">
        <v>0.27600000000000002</v>
      </c>
      <c r="F29" s="18">
        <f>D29*E29</f>
        <v>0.27600000000000002</v>
      </c>
      <c r="G29" s="2">
        <v>121727</v>
      </c>
      <c r="H29" s="19" t="s">
        <v>258</v>
      </c>
      <c r="I29" s="19" t="s">
        <v>257</v>
      </c>
      <c r="J29" s="18" t="s">
        <v>21</v>
      </c>
      <c r="K29" s="19" t="s">
        <v>264</v>
      </c>
      <c r="L29" s="13" t="s">
        <v>245</v>
      </c>
    </row>
    <row r="30" spans="1:12" x14ac:dyDescent="0.25">
      <c r="A30" s="32"/>
      <c r="B30" s="1">
        <v>22</v>
      </c>
      <c r="C30" s="15" t="s">
        <v>205</v>
      </c>
      <c r="D30" s="18">
        <v>1</v>
      </c>
      <c r="E30" s="19">
        <v>0.53</v>
      </c>
      <c r="F30" s="18">
        <f>D30*E30</f>
        <v>0.53</v>
      </c>
      <c r="G30" s="2">
        <v>28787</v>
      </c>
      <c r="H30" s="19" t="s">
        <v>214</v>
      </c>
      <c r="I30" s="19" t="s">
        <v>213</v>
      </c>
      <c r="J30" s="18" t="s">
        <v>212</v>
      </c>
      <c r="K30" s="19" t="s">
        <v>215</v>
      </c>
      <c r="L30" s="13" t="s">
        <v>204</v>
      </c>
    </row>
    <row r="31" spans="1:12" x14ac:dyDescent="0.25">
      <c r="A31" s="32"/>
      <c r="B31" s="1">
        <v>23</v>
      </c>
      <c r="C31" s="15" t="s">
        <v>107</v>
      </c>
      <c r="D31" s="18">
        <v>2</v>
      </c>
      <c r="E31" s="19">
        <v>0.68200000000000005</v>
      </c>
      <c r="F31" s="18">
        <f>D31*E31</f>
        <v>1.3640000000000001</v>
      </c>
      <c r="G31" s="2">
        <v>56510</v>
      </c>
      <c r="H31" s="19" t="s">
        <v>128</v>
      </c>
      <c r="I31" s="19" t="s">
        <v>127</v>
      </c>
      <c r="J31" s="18" t="s">
        <v>23</v>
      </c>
      <c r="K31" s="19" t="s">
        <v>129</v>
      </c>
      <c r="L31" s="13" t="s">
        <v>106</v>
      </c>
    </row>
    <row r="32" spans="1:12" x14ac:dyDescent="0.25">
      <c r="A32" s="32"/>
      <c r="B32" s="1">
        <v>24</v>
      </c>
      <c r="C32" s="15" t="s">
        <v>244</v>
      </c>
      <c r="D32" s="18">
        <v>3</v>
      </c>
      <c r="E32" s="19">
        <v>0.73699999999999999</v>
      </c>
      <c r="F32" s="18">
        <f>D32*E32</f>
        <v>2.2109999999999999</v>
      </c>
      <c r="G32" s="2">
        <v>98081</v>
      </c>
      <c r="H32" s="19" t="s">
        <v>28</v>
      </c>
      <c r="I32" s="19" t="s">
        <v>37</v>
      </c>
      <c r="J32" s="18" t="s">
        <v>27</v>
      </c>
      <c r="K32" s="19" t="s">
        <v>22</v>
      </c>
      <c r="L32" s="13" t="s">
        <v>20</v>
      </c>
    </row>
    <row r="33" spans="1:12" x14ac:dyDescent="0.25">
      <c r="A33" s="32"/>
      <c r="B33" s="1">
        <v>25</v>
      </c>
      <c r="C33" s="15" t="s">
        <v>220</v>
      </c>
      <c r="D33" s="18">
        <v>8</v>
      </c>
      <c r="E33" s="19">
        <v>0.11260000000000001</v>
      </c>
      <c r="F33" s="18">
        <f>D33*E33</f>
        <v>0.90080000000000005</v>
      </c>
      <c r="G33" s="2">
        <v>2654734</v>
      </c>
      <c r="H33" s="19" t="s">
        <v>229</v>
      </c>
      <c r="I33" s="19" t="s">
        <v>228</v>
      </c>
      <c r="J33" s="18" t="s">
        <v>130</v>
      </c>
      <c r="K33" s="19" t="s">
        <v>30</v>
      </c>
      <c r="L33" s="13" t="s">
        <v>216</v>
      </c>
    </row>
    <row r="34" spans="1:12" x14ac:dyDescent="0.25">
      <c r="A34" s="32"/>
      <c r="B34" s="1">
        <v>26</v>
      </c>
      <c r="C34" s="15" t="s">
        <v>247</v>
      </c>
      <c r="D34" s="18">
        <v>2</v>
      </c>
      <c r="E34" s="19">
        <v>0.06</v>
      </c>
      <c r="F34" s="18">
        <f>D34*E34</f>
        <v>0.12</v>
      </c>
      <c r="G34" s="2">
        <v>4907</v>
      </c>
      <c r="H34" s="19" t="s">
        <v>35</v>
      </c>
      <c r="I34" s="19" t="s">
        <v>34</v>
      </c>
      <c r="J34" s="18" t="s">
        <v>21</v>
      </c>
      <c r="K34" s="19" t="s">
        <v>30</v>
      </c>
      <c r="L34" s="13" t="s">
        <v>32</v>
      </c>
    </row>
    <row r="35" spans="1:12" ht="39" customHeight="1" x14ac:dyDescent="0.25">
      <c r="A35" s="32"/>
      <c r="B35" s="1">
        <v>27</v>
      </c>
      <c r="C35" s="17" t="s">
        <v>248</v>
      </c>
      <c r="D35" s="18">
        <v>29</v>
      </c>
      <c r="E35" s="19">
        <v>8.1200000000000005E-3</v>
      </c>
      <c r="F35" s="18">
        <f>D35*E35</f>
        <v>0.23548000000000002</v>
      </c>
      <c r="G35" s="2">
        <v>1997475</v>
      </c>
      <c r="H35" s="19" t="s">
        <v>121</v>
      </c>
      <c r="I35" s="19" t="s">
        <v>122</v>
      </c>
      <c r="J35" s="18" t="s">
        <v>31</v>
      </c>
      <c r="K35" s="19" t="s">
        <v>30</v>
      </c>
      <c r="L35" s="13" t="s">
        <v>123</v>
      </c>
    </row>
    <row r="36" spans="1:12" x14ac:dyDescent="0.25">
      <c r="A36" s="32"/>
      <c r="B36" s="1">
        <v>28</v>
      </c>
      <c r="C36" s="17" t="s">
        <v>246</v>
      </c>
      <c r="D36" s="18">
        <v>3</v>
      </c>
      <c r="E36" s="19">
        <v>1.9E-2</v>
      </c>
      <c r="F36" s="18">
        <f>D36*E36</f>
        <v>5.6999999999999995E-2</v>
      </c>
      <c r="G36" s="2">
        <v>638271</v>
      </c>
      <c r="H36" s="19" t="s">
        <v>124</v>
      </c>
      <c r="I36" s="19" t="s">
        <v>125</v>
      </c>
      <c r="J36" s="18" t="s">
        <v>31</v>
      </c>
      <c r="K36" s="19" t="s">
        <v>30</v>
      </c>
      <c r="L36" s="13" t="s">
        <v>126</v>
      </c>
    </row>
    <row r="37" spans="1:12" x14ac:dyDescent="0.25">
      <c r="A37" s="32"/>
      <c r="B37" s="1">
        <v>29</v>
      </c>
      <c r="C37" s="17" t="s">
        <v>219</v>
      </c>
      <c r="D37" s="18">
        <v>5</v>
      </c>
      <c r="E37" s="19">
        <v>0.03</v>
      </c>
      <c r="F37" s="18">
        <f>D37*E37</f>
        <v>0.15</v>
      </c>
      <c r="G37" s="2">
        <v>792462</v>
      </c>
      <c r="H37" s="19" t="s">
        <v>231</v>
      </c>
      <c r="I37" s="19" t="s">
        <v>230</v>
      </c>
      <c r="J37" s="18" t="s">
        <v>27</v>
      </c>
      <c r="K37" s="19" t="s">
        <v>30</v>
      </c>
      <c r="L37" s="5" t="s">
        <v>218</v>
      </c>
    </row>
    <row r="38" spans="1:12" x14ac:dyDescent="0.25">
      <c r="A38" s="32"/>
      <c r="B38" s="1">
        <v>30</v>
      </c>
      <c r="C38" s="15" t="s">
        <v>196</v>
      </c>
      <c r="D38" s="18">
        <v>1</v>
      </c>
      <c r="E38" s="19">
        <v>0.40300000000000002</v>
      </c>
      <c r="F38" s="18">
        <f>D38*E38</f>
        <v>0.40300000000000002</v>
      </c>
      <c r="G38" s="2">
        <v>246873</v>
      </c>
      <c r="H38" s="19" t="s">
        <v>38</v>
      </c>
      <c r="I38" s="19" t="s">
        <v>25</v>
      </c>
      <c r="J38" s="18" t="s">
        <v>24</v>
      </c>
      <c r="K38" s="19" t="s">
        <v>26</v>
      </c>
      <c r="L38" s="13" t="s">
        <v>19</v>
      </c>
    </row>
    <row r="39" spans="1:12" x14ac:dyDescent="0.25">
      <c r="A39" s="32"/>
      <c r="B39" s="1">
        <v>31</v>
      </c>
      <c r="C39" s="15" t="s">
        <v>113</v>
      </c>
      <c r="D39" s="18">
        <v>1</v>
      </c>
      <c r="E39" s="19">
        <v>0.36</v>
      </c>
      <c r="F39" s="18">
        <f>D39*E39</f>
        <v>0.36</v>
      </c>
      <c r="G39" s="2">
        <v>29562</v>
      </c>
      <c r="H39" s="19" t="s">
        <v>108</v>
      </c>
      <c r="I39" s="19" t="s">
        <v>109</v>
      </c>
      <c r="J39" s="18" t="s">
        <v>110</v>
      </c>
      <c r="K39" s="19" t="s">
        <v>111</v>
      </c>
      <c r="L39" s="13" t="s">
        <v>112</v>
      </c>
    </row>
    <row r="40" spans="1:12" x14ac:dyDescent="0.25">
      <c r="A40" s="32"/>
      <c r="B40" s="1">
        <v>32</v>
      </c>
      <c r="C40" s="15" t="s">
        <v>114</v>
      </c>
      <c r="D40" s="18">
        <v>1</v>
      </c>
      <c r="E40" s="19">
        <v>0.63900000000000001</v>
      </c>
      <c r="F40" s="18">
        <f>D40*E40</f>
        <v>0.63900000000000001</v>
      </c>
      <c r="G40" s="2">
        <v>17177</v>
      </c>
      <c r="H40" s="19" t="s">
        <v>115</v>
      </c>
      <c r="I40" s="19" t="s">
        <v>116</v>
      </c>
      <c r="J40" s="18" t="s">
        <v>82</v>
      </c>
      <c r="K40" s="19" t="s">
        <v>117</v>
      </c>
      <c r="L40" s="13" t="s">
        <v>118</v>
      </c>
    </row>
    <row r="41" spans="1:12" x14ac:dyDescent="0.25">
      <c r="A41" s="32"/>
      <c r="B41" s="1">
        <v>33</v>
      </c>
      <c r="C41" s="15" t="s">
        <v>197</v>
      </c>
      <c r="D41" s="18">
        <v>5</v>
      </c>
      <c r="E41" s="19">
        <v>0.55200000000000005</v>
      </c>
      <c r="F41" s="18">
        <f>D41*E41</f>
        <v>2.7600000000000002</v>
      </c>
      <c r="G41" s="2">
        <v>75280</v>
      </c>
      <c r="H41" s="19" t="s">
        <v>65</v>
      </c>
      <c r="I41" s="19" t="s">
        <v>66</v>
      </c>
      <c r="J41" s="18" t="s">
        <v>67</v>
      </c>
      <c r="K41" s="19" t="s">
        <v>68</v>
      </c>
      <c r="L41" s="13" t="s">
        <v>69</v>
      </c>
    </row>
    <row r="42" spans="1:12" x14ac:dyDescent="0.25">
      <c r="A42" s="32"/>
      <c r="B42" s="1">
        <v>34</v>
      </c>
      <c r="C42" s="17" t="s">
        <v>167</v>
      </c>
      <c r="D42" s="18">
        <v>1</v>
      </c>
      <c r="E42" s="19">
        <v>1.4E-2</v>
      </c>
      <c r="F42" s="18">
        <f>D42*E42</f>
        <v>1.4E-2</v>
      </c>
      <c r="G42" s="2">
        <v>76574</v>
      </c>
      <c r="H42" s="19" t="s">
        <v>168</v>
      </c>
      <c r="I42" s="19" t="s">
        <v>169</v>
      </c>
      <c r="J42" s="18" t="s">
        <v>135</v>
      </c>
      <c r="K42" s="19">
        <v>603</v>
      </c>
      <c r="L42" s="5" t="s">
        <v>170</v>
      </c>
    </row>
    <row r="43" spans="1:12" x14ac:dyDescent="0.25">
      <c r="A43" s="32"/>
      <c r="B43" s="1">
        <v>35</v>
      </c>
      <c r="C43" s="17" t="s">
        <v>163</v>
      </c>
      <c r="D43" s="18">
        <v>1</v>
      </c>
      <c r="E43" s="19">
        <v>0.1</v>
      </c>
      <c r="F43" s="18">
        <f>D43*E43</f>
        <v>0.1</v>
      </c>
      <c r="G43" s="2">
        <v>129546</v>
      </c>
      <c r="H43" s="19" t="s">
        <v>164</v>
      </c>
      <c r="I43" s="19" t="s">
        <v>165</v>
      </c>
      <c r="J43" s="19" t="s">
        <v>29</v>
      </c>
      <c r="K43" s="19">
        <v>603</v>
      </c>
      <c r="L43" s="5" t="s">
        <v>166</v>
      </c>
    </row>
    <row r="44" spans="1:12" x14ac:dyDescent="0.25">
      <c r="A44" s="32"/>
      <c r="B44" s="1">
        <v>36</v>
      </c>
      <c r="C44" s="17" t="s">
        <v>236</v>
      </c>
      <c r="D44" s="18">
        <v>7</v>
      </c>
      <c r="E44" s="19">
        <v>1.38E-2</v>
      </c>
      <c r="F44" s="18">
        <f>D44*E44</f>
        <v>9.6599999999999991E-2</v>
      </c>
      <c r="G44" s="2">
        <v>6583669</v>
      </c>
      <c r="H44" s="19" t="s">
        <v>160</v>
      </c>
      <c r="I44" s="19" t="s">
        <v>161</v>
      </c>
      <c r="J44" s="19" t="s">
        <v>29</v>
      </c>
      <c r="K44" s="19">
        <v>603</v>
      </c>
      <c r="L44" s="13" t="s">
        <v>162</v>
      </c>
    </row>
    <row r="45" spans="1:12" x14ac:dyDescent="0.25">
      <c r="A45" s="32"/>
      <c r="B45" s="1">
        <v>37</v>
      </c>
      <c r="C45" s="17" t="s">
        <v>251</v>
      </c>
      <c r="D45" s="18">
        <v>1</v>
      </c>
      <c r="E45" s="19">
        <v>1.4E-2</v>
      </c>
      <c r="F45" s="18">
        <f>D45*E45</f>
        <v>1.4E-2</v>
      </c>
      <c r="G45" s="2">
        <v>451948</v>
      </c>
      <c r="H45" s="19" t="s">
        <v>260</v>
      </c>
      <c r="I45" s="19" t="s">
        <v>259</v>
      </c>
      <c r="J45" s="19" t="s">
        <v>135</v>
      </c>
      <c r="K45" s="19">
        <v>603</v>
      </c>
      <c r="L45" s="5" t="s">
        <v>250</v>
      </c>
    </row>
    <row r="46" spans="1:12" x14ac:dyDescent="0.25">
      <c r="A46" s="32"/>
      <c r="B46" s="1">
        <v>38</v>
      </c>
      <c r="C46" s="17" t="s">
        <v>157</v>
      </c>
      <c r="D46" s="18">
        <v>4</v>
      </c>
      <c r="E46" s="19">
        <v>0.1</v>
      </c>
      <c r="F46" s="18">
        <f>D46*E46</f>
        <v>0.4</v>
      </c>
      <c r="G46" s="2">
        <v>414600</v>
      </c>
      <c r="H46" s="19" t="s">
        <v>171</v>
      </c>
      <c r="I46" s="19" t="s">
        <v>158</v>
      </c>
      <c r="J46" s="19" t="s">
        <v>29</v>
      </c>
      <c r="K46" s="19">
        <v>603</v>
      </c>
      <c r="L46" s="5" t="s">
        <v>159</v>
      </c>
    </row>
    <row r="47" spans="1:12" x14ac:dyDescent="0.25">
      <c r="A47" s="32"/>
      <c r="B47" s="1">
        <v>39</v>
      </c>
      <c r="C47" s="17" t="s">
        <v>253</v>
      </c>
      <c r="D47" s="18">
        <v>1</v>
      </c>
      <c r="E47" s="19">
        <v>1.4E-2</v>
      </c>
      <c r="F47" s="18">
        <f>D47*E47</f>
        <v>1.4E-2</v>
      </c>
      <c r="G47" s="2">
        <v>114996</v>
      </c>
      <c r="H47" s="19" t="s">
        <v>262</v>
      </c>
      <c r="I47" s="19" t="s">
        <v>261</v>
      </c>
      <c r="J47" s="19" t="s">
        <v>135</v>
      </c>
      <c r="K47" s="19">
        <v>603</v>
      </c>
      <c r="L47" s="5" t="s">
        <v>252</v>
      </c>
    </row>
    <row r="48" spans="1:12" x14ac:dyDescent="0.25">
      <c r="A48" s="32"/>
      <c r="B48" s="1">
        <v>40</v>
      </c>
      <c r="C48" s="17" t="s">
        <v>154</v>
      </c>
      <c r="D48" s="18">
        <v>1</v>
      </c>
      <c r="E48" s="19">
        <v>0.1</v>
      </c>
      <c r="F48" s="18">
        <f>D48*E48</f>
        <v>0.1</v>
      </c>
      <c r="G48" s="2">
        <v>113335</v>
      </c>
      <c r="H48" s="19" t="s">
        <v>172</v>
      </c>
      <c r="I48" s="19" t="s">
        <v>155</v>
      </c>
      <c r="J48" s="19" t="s">
        <v>29</v>
      </c>
      <c r="K48" s="19">
        <v>603</v>
      </c>
      <c r="L48" s="5" t="s">
        <v>156</v>
      </c>
    </row>
    <row r="49" spans="1:12" x14ac:dyDescent="0.25">
      <c r="A49" s="32"/>
      <c r="B49" s="1">
        <v>41</v>
      </c>
      <c r="C49" s="17" t="s">
        <v>249</v>
      </c>
      <c r="D49" s="18">
        <v>9</v>
      </c>
      <c r="E49" s="19">
        <v>1.38E-2</v>
      </c>
      <c r="F49" s="18">
        <f>D49*E49</f>
        <v>0.1242</v>
      </c>
      <c r="G49" s="2">
        <v>4491458</v>
      </c>
      <c r="H49" s="19" t="s">
        <v>173</v>
      </c>
      <c r="I49" s="19" t="s">
        <v>152</v>
      </c>
      <c r="J49" s="19" t="s">
        <v>29</v>
      </c>
      <c r="K49" s="19">
        <v>603</v>
      </c>
      <c r="L49" s="13" t="s">
        <v>153</v>
      </c>
    </row>
    <row r="50" spans="1:12" x14ac:dyDescent="0.25">
      <c r="A50" s="32"/>
      <c r="B50" s="1">
        <v>42</v>
      </c>
      <c r="C50" s="17" t="s">
        <v>206</v>
      </c>
      <c r="D50" s="18">
        <v>2</v>
      </c>
      <c r="E50" s="19">
        <v>0.1</v>
      </c>
      <c r="F50" s="18">
        <f>D50*E50</f>
        <v>0.2</v>
      </c>
      <c r="G50" s="2">
        <v>97614</v>
      </c>
      <c r="H50" s="19" t="s">
        <v>174</v>
      </c>
      <c r="I50" s="19" t="s">
        <v>150</v>
      </c>
      <c r="J50" s="19" t="s">
        <v>29</v>
      </c>
      <c r="K50" s="19">
        <v>603</v>
      </c>
      <c r="L50" s="5" t="s">
        <v>151</v>
      </c>
    </row>
    <row r="51" spans="1:12" x14ac:dyDescent="0.25">
      <c r="A51" s="32"/>
      <c r="B51" s="1">
        <v>43</v>
      </c>
      <c r="C51" s="17" t="s">
        <v>147</v>
      </c>
      <c r="D51" s="18">
        <v>2</v>
      </c>
      <c r="E51" s="19">
        <v>0.1</v>
      </c>
      <c r="F51" s="18">
        <f>D51*E51</f>
        <v>0.2</v>
      </c>
      <c r="G51" s="2">
        <v>883363</v>
      </c>
      <c r="H51" s="19" t="s">
        <v>175</v>
      </c>
      <c r="I51" s="19" t="s">
        <v>148</v>
      </c>
      <c r="J51" s="19" t="s">
        <v>29</v>
      </c>
      <c r="K51" s="19">
        <v>603</v>
      </c>
      <c r="L51" s="5" t="s">
        <v>149</v>
      </c>
    </row>
    <row r="52" spans="1:12" x14ac:dyDescent="0.25">
      <c r="A52" s="32"/>
      <c r="B52" s="1">
        <v>44</v>
      </c>
      <c r="C52" s="15" t="s">
        <v>235</v>
      </c>
      <c r="D52" s="18">
        <v>10</v>
      </c>
      <c r="E52" s="19">
        <v>6.3E-3</v>
      </c>
      <c r="F52" s="18">
        <f>D52*E52</f>
        <v>6.3E-2</v>
      </c>
      <c r="G52" s="2">
        <v>270355</v>
      </c>
      <c r="H52" s="19" t="s">
        <v>144</v>
      </c>
      <c r="I52" s="19" t="s">
        <v>145</v>
      </c>
      <c r="J52" s="18" t="s">
        <v>135</v>
      </c>
      <c r="K52" s="19">
        <v>603</v>
      </c>
      <c r="L52" s="5" t="s">
        <v>146</v>
      </c>
    </row>
    <row r="53" spans="1:12" x14ac:dyDescent="0.25">
      <c r="A53" s="32"/>
      <c r="B53" s="1">
        <v>45</v>
      </c>
      <c r="C53" s="15" t="s">
        <v>143</v>
      </c>
      <c r="D53" s="18">
        <v>1</v>
      </c>
      <c r="E53" s="19">
        <v>0.1</v>
      </c>
      <c r="F53" s="9">
        <f>D53*E53</f>
        <v>0.1</v>
      </c>
      <c r="G53" s="2">
        <v>135615</v>
      </c>
      <c r="H53" s="19" t="s">
        <v>177</v>
      </c>
      <c r="I53" s="19" t="s">
        <v>176</v>
      </c>
      <c r="J53" s="18" t="s">
        <v>29</v>
      </c>
      <c r="K53" s="19">
        <v>603</v>
      </c>
      <c r="L53" s="13" t="s">
        <v>142</v>
      </c>
    </row>
    <row r="54" spans="1:12" x14ac:dyDescent="0.25">
      <c r="A54" s="32"/>
      <c r="B54" s="1">
        <v>46</v>
      </c>
      <c r="C54" s="15" t="s">
        <v>198</v>
      </c>
      <c r="D54" s="18">
        <v>5</v>
      </c>
      <c r="E54" s="19">
        <v>1.04E-2</v>
      </c>
      <c r="F54" s="9">
        <f>D54*E54</f>
        <v>5.1999999999999998E-2</v>
      </c>
      <c r="G54" s="2">
        <v>14895</v>
      </c>
      <c r="H54" s="19" t="s">
        <v>179</v>
      </c>
      <c r="I54" s="19" t="s">
        <v>178</v>
      </c>
      <c r="J54" s="18" t="s">
        <v>135</v>
      </c>
      <c r="K54" s="19">
        <v>603</v>
      </c>
      <c r="L54" s="13" t="s">
        <v>141</v>
      </c>
    </row>
    <row r="55" spans="1:12" x14ac:dyDescent="0.25">
      <c r="A55" s="32"/>
      <c r="B55" s="1">
        <v>47</v>
      </c>
      <c r="C55" s="15" t="s">
        <v>234</v>
      </c>
      <c r="D55" s="18">
        <v>3</v>
      </c>
      <c r="E55" s="19">
        <v>0.1</v>
      </c>
      <c r="F55" s="9">
        <f>D55*E55</f>
        <v>0.30000000000000004</v>
      </c>
      <c r="G55" s="2">
        <v>1475078</v>
      </c>
      <c r="H55" s="19" t="s">
        <v>242</v>
      </c>
      <c r="I55" s="19" t="s">
        <v>241</v>
      </c>
      <c r="J55" s="18" t="s">
        <v>29</v>
      </c>
      <c r="K55" s="19">
        <v>603</v>
      </c>
      <c r="L55" s="13" t="s">
        <v>240</v>
      </c>
    </row>
    <row r="56" spans="1:12" x14ac:dyDescent="0.25">
      <c r="A56" s="32"/>
      <c r="B56" s="1">
        <v>48</v>
      </c>
      <c r="C56" s="17" t="s">
        <v>137</v>
      </c>
      <c r="D56" s="18">
        <v>2</v>
      </c>
      <c r="E56" s="19">
        <v>0.01</v>
      </c>
      <c r="F56" s="18">
        <f>D56*E56</f>
        <v>0.02</v>
      </c>
      <c r="G56" s="2">
        <v>65550</v>
      </c>
      <c r="H56" s="19" t="s">
        <v>138</v>
      </c>
      <c r="I56" s="19" t="s">
        <v>139</v>
      </c>
      <c r="J56" s="18" t="s">
        <v>135</v>
      </c>
      <c r="K56" s="19">
        <v>603</v>
      </c>
      <c r="L56" s="5" t="s">
        <v>140</v>
      </c>
    </row>
    <row r="57" spans="1:12" x14ac:dyDescent="0.25">
      <c r="A57" s="32"/>
      <c r="B57" s="1">
        <v>49</v>
      </c>
      <c r="C57" s="17" t="s">
        <v>132</v>
      </c>
      <c r="D57" s="18">
        <v>2</v>
      </c>
      <c r="E57" s="19">
        <v>1.4E-2</v>
      </c>
      <c r="F57" s="18">
        <f>D57*E57</f>
        <v>2.8000000000000001E-2</v>
      </c>
      <c r="G57" s="2">
        <v>179564</v>
      </c>
      <c r="H57" s="19" t="s">
        <v>133</v>
      </c>
      <c r="I57" s="19" t="s">
        <v>134</v>
      </c>
      <c r="J57" s="18" t="s">
        <v>135</v>
      </c>
      <c r="K57" s="19">
        <v>603</v>
      </c>
      <c r="L57" s="5" t="s">
        <v>136</v>
      </c>
    </row>
    <row r="58" spans="1:12" x14ac:dyDescent="0.25">
      <c r="A58" s="32"/>
      <c r="B58" s="1">
        <v>50</v>
      </c>
      <c r="C58" s="15" t="s">
        <v>131</v>
      </c>
      <c r="D58" s="18">
        <v>1</v>
      </c>
      <c r="E58" s="19">
        <v>1.1499999999999999</v>
      </c>
      <c r="F58" s="18">
        <f>D58*E58</f>
        <v>1.1499999999999999</v>
      </c>
      <c r="G58" s="2">
        <v>14251</v>
      </c>
      <c r="H58" s="19" t="s">
        <v>203</v>
      </c>
      <c r="I58" s="19" t="s">
        <v>202</v>
      </c>
      <c r="J58" s="18" t="s">
        <v>29</v>
      </c>
      <c r="K58" s="19">
        <v>805</v>
      </c>
      <c r="L58" s="13" t="s">
        <v>201</v>
      </c>
    </row>
    <row r="59" spans="1:12" x14ac:dyDescent="0.25">
      <c r="A59" s="32"/>
      <c r="B59" s="1">
        <v>51</v>
      </c>
      <c r="C59" s="15" t="s">
        <v>233</v>
      </c>
      <c r="D59" s="18">
        <v>1</v>
      </c>
      <c r="E59" s="19">
        <v>0.26</v>
      </c>
      <c r="F59" s="18">
        <f t="shared" ref="F41:F72" si="0">D59*E59</f>
        <v>0.26</v>
      </c>
      <c r="G59" s="2">
        <v>3413</v>
      </c>
      <c r="H59" s="19" t="s">
        <v>263</v>
      </c>
      <c r="I59" s="19"/>
      <c r="J59" s="18"/>
      <c r="K59" s="19"/>
      <c r="L59" s="13"/>
    </row>
    <row r="60" spans="1:12" x14ac:dyDescent="0.25">
      <c r="A60" s="32"/>
      <c r="B60" s="1"/>
      <c r="C60" s="15"/>
      <c r="D60" s="18"/>
      <c r="E60" s="19"/>
      <c r="F60" s="18"/>
      <c r="G60" s="2"/>
      <c r="H60" s="19"/>
      <c r="I60" s="19"/>
      <c r="J60" s="18"/>
      <c r="K60" s="19"/>
      <c r="L60" s="13"/>
    </row>
    <row r="61" spans="1:12" x14ac:dyDescent="0.25">
      <c r="A61" s="32"/>
      <c r="B61" s="1"/>
      <c r="C61" s="17" t="s">
        <v>194</v>
      </c>
      <c r="D61" s="18">
        <v>3</v>
      </c>
      <c r="E61" s="19">
        <v>3</v>
      </c>
      <c r="F61" s="18">
        <v>9</v>
      </c>
      <c r="G61" s="2"/>
      <c r="H61" s="18" t="s">
        <v>51</v>
      </c>
      <c r="I61" s="19" t="s">
        <v>52</v>
      </c>
      <c r="J61" s="18" t="s">
        <v>53</v>
      </c>
      <c r="K61" s="19"/>
      <c r="L61" s="5"/>
    </row>
    <row r="62" spans="1:12" ht="15.75" thickBot="1" x14ac:dyDescent="0.3">
      <c r="A62" s="32"/>
      <c r="B62" s="16"/>
      <c r="C62" s="17" t="s">
        <v>18</v>
      </c>
      <c r="D62" s="33">
        <f>SUM(D9:D61)</f>
        <v>146</v>
      </c>
      <c r="E62" s="33"/>
      <c r="F62" s="34">
        <f>SUM(F9:F61)</f>
        <v>90.216080000000005</v>
      </c>
      <c r="G62" s="35"/>
      <c r="H62" s="12"/>
      <c r="I62" s="12"/>
      <c r="J62" s="12"/>
      <c r="K62" s="12"/>
      <c r="L62" s="36"/>
    </row>
    <row r="63" spans="1:12" x14ac:dyDescent="0.25">
      <c r="A63" s="37"/>
      <c r="B63" s="37"/>
      <c r="C63" s="20" t="s">
        <v>13</v>
      </c>
      <c r="D63" s="21"/>
      <c r="E63" s="21"/>
      <c r="F63" s="24">
        <v>53.794540000000012</v>
      </c>
      <c r="G63" s="37"/>
      <c r="H63" s="37"/>
      <c r="I63" s="37"/>
      <c r="J63" s="37"/>
    </row>
    <row r="64" spans="1:12" x14ac:dyDescent="0.25">
      <c r="A64" s="37"/>
      <c r="B64" s="37"/>
      <c r="C64" s="38" t="s">
        <v>17</v>
      </c>
      <c r="D64" s="22"/>
      <c r="E64" s="22"/>
      <c r="F64" s="25">
        <v>43.498639999999966</v>
      </c>
      <c r="G64" s="37"/>
      <c r="H64" s="37"/>
      <c r="I64" s="37"/>
      <c r="J64" s="37"/>
    </row>
    <row r="65" spans="2:9" x14ac:dyDescent="0.25">
      <c r="C65" s="38" t="s">
        <v>16</v>
      </c>
      <c r="D65" s="22"/>
      <c r="E65" s="22"/>
      <c r="F65" s="25">
        <v>42.278649999999971</v>
      </c>
      <c r="I65" s="37"/>
    </row>
    <row r="66" spans="2:9" ht="15.75" thickBot="1" x14ac:dyDescent="0.3">
      <c r="B66" s="27" t="s">
        <v>14</v>
      </c>
      <c r="C66" s="39" t="s">
        <v>15</v>
      </c>
      <c r="D66" s="23"/>
      <c r="E66" s="23"/>
      <c r="F66" s="26">
        <v>42.218249999999969</v>
      </c>
      <c r="I66" s="37"/>
    </row>
    <row r="67" spans="2:9" x14ac:dyDescent="0.25">
      <c r="I67" s="37"/>
    </row>
    <row r="68" spans="2:9" x14ac:dyDescent="0.25">
      <c r="I68" s="37"/>
    </row>
  </sheetData>
  <mergeCells count="1">
    <mergeCell ref="B2:L2"/>
  </mergeCells>
  <hyperlinks>
    <hyperlink ref="L55" r:id="rId1"/>
    <hyperlink ref="L29" r:id="rId2"/>
    <hyperlink ref="L32" r:id="rId3"/>
    <hyperlink ref="L34" r:id="rId4"/>
    <hyperlink ref="L40" r:id="rId5"/>
    <hyperlink ref="L38" r:id="rId6"/>
    <hyperlink ref="L28" r:id="rId7"/>
    <hyperlink ref="L25" r:id="rId8"/>
    <hyperlink ref="L24" r:id="rId9"/>
    <hyperlink ref="L9" r:id="rId10"/>
    <hyperlink ref="L10" r:id="rId11"/>
    <hyperlink ref="L11" r:id="rId12"/>
    <hyperlink ref="L12" r:id="rId13"/>
    <hyperlink ref="L13" r:id="rId14"/>
    <hyperlink ref="L14" r:id="rId15"/>
    <hyperlink ref="L15" r:id="rId16"/>
    <hyperlink ref="L16" r:id="rId17"/>
    <hyperlink ref="L17" r:id="rId18"/>
    <hyperlink ref="L31" r:id="rId19"/>
    <hyperlink ref="L39" r:id="rId20"/>
    <hyperlink ref="L26" r:id="rId21"/>
    <hyperlink ref="L27" r:id="rId22"/>
    <hyperlink ref="L35" r:id="rId23"/>
    <hyperlink ref="L36" r:id="rId24"/>
    <hyperlink ref="L37" r:id="rId25"/>
    <hyperlink ref="L58" r:id="rId26"/>
    <hyperlink ref="L57" r:id="rId27"/>
    <hyperlink ref="L56" r:id="rId28"/>
    <hyperlink ref="L54" r:id="rId29"/>
    <hyperlink ref="L53" r:id="rId30"/>
    <hyperlink ref="L52" r:id="rId31"/>
    <hyperlink ref="L51" r:id="rId32"/>
    <hyperlink ref="L50" r:id="rId33"/>
    <hyperlink ref="L49" r:id="rId34"/>
    <hyperlink ref="L48" r:id="rId35"/>
    <hyperlink ref="L46" r:id="rId36"/>
    <hyperlink ref="L44" r:id="rId37"/>
    <hyperlink ref="L43" r:id="rId38"/>
    <hyperlink ref="L42" r:id="rId39"/>
    <hyperlink ref="L18" r:id="rId40"/>
    <hyperlink ref="L19" r:id="rId41"/>
    <hyperlink ref="L20" r:id="rId42"/>
    <hyperlink ref="L21" r:id="rId43"/>
    <hyperlink ref="L22" r:id="rId44"/>
    <hyperlink ref="L23" r:id="rId45"/>
    <hyperlink ref="L41" r:id="rId46"/>
    <hyperlink ref="L30" r:id="rId47"/>
    <hyperlink ref="L33" r:id="rId48"/>
    <hyperlink ref="L45" r:id="rId49"/>
    <hyperlink ref="L47" r:id="rId50"/>
  </hyperlinks>
  <pageMargins left="0.7" right="0.7" top="0.75" bottom="0.75" header="0.3" footer="0.3"/>
  <pageSetup paperSize="9" scale="49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4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1524000</xdr:colOff>
                    <xdr:row>2</xdr:row>
                    <xdr:rowOff>57150</xdr:rowOff>
                  </from>
                  <to>
                    <xdr:col>10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2013-09-30T12:25:00Z</dcterms:modified>
</cp:coreProperties>
</file>