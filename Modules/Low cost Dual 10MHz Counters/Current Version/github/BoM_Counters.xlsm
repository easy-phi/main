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150" windowWidth="28335" windowHeight="14445"/>
  </bookViews>
  <sheets>
    <sheet name="BoM" sheetId="1" r:id="rId1"/>
    <sheet name="Feuil2" sheetId="2" r:id="rId2"/>
    <sheet name="Feuil3" sheetId="3" r:id="rId3"/>
  </sheets>
  <calcPr calcId="145621"/>
</workbook>
</file>

<file path=xl/calcChain.xml><?xml version="1.0" encoding="utf-8"?>
<calcChain xmlns="http://schemas.openxmlformats.org/spreadsheetml/2006/main">
  <c r="D81" i="1" l="1"/>
  <c r="F81" i="1"/>
</calcChain>
</file>

<file path=xl/sharedStrings.xml><?xml version="1.0" encoding="utf-8"?>
<sst xmlns="http://schemas.openxmlformats.org/spreadsheetml/2006/main" count="574" uniqueCount="422">
  <si>
    <t>Item</t>
  </si>
  <si>
    <t>Qty</t>
  </si>
  <si>
    <t>Description</t>
  </si>
  <si>
    <t>Manufacturer P/N</t>
  </si>
  <si>
    <t>Manufacturer</t>
  </si>
  <si>
    <t>Internet link</t>
  </si>
  <si>
    <t>Packaging</t>
  </si>
  <si>
    <t>Schematics Ref</t>
  </si>
  <si>
    <t>Prototype quantity :</t>
  </si>
  <si>
    <t>Price/chip</t>
  </si>
  <si>
    <t>Total for 100 prototypes :</t>
  </si>
  <si>
    <t xml:space="preserve"> </t>
  </si>
  <si>
    <t>Total for 10k "prototypes" :</t>
  </si>
  <si>
    <t>Total for 5000 prototypes :</t>
  </si>
  <si>
    <t>Total for 1000 prototypes :</t>
  </si>
  <si>
    <t>Total:</t>
  </si>
  <si>
    <t>Total for 10 prototypes :</t>
  </si>
  <si>
    <t>Home Stock</t>
  </si>
  <si>
    <t>Total Price</t>
  </si>
  <si>
    <t>Digikey Stock</t>
  </si>
  <si>
    <t>Project Bill Of Materials</t>
  </si>
  <si>
    <t>Category</t>
  </si>
  <si>
    <t>Family</t>
  </si>
  <si>
    <t>Integrated Circuits (ICs)</t>
  </si>
  <si>
    <t>PMIC - Hot Swap Controllers</t>
  </si>
  <si>
    <t>PMIC - Voltage Regulators - DC DC Switching Regulators</t>
  </si>
  <si>
    <t>Embedded - Microcontrollers</t>
  </si>
  <si>
    <t>Resistors</t>
  </si>
  <si>
    <t>Chip Resistor - Surface Mount</t>
  </si>
  <si>
    <t>PMIC - Voltage Regulators - Linear (LDO)</t>
  </si>
  <si>
    <t>(Value)</t>
  </si>
  <si>
    <t>Capacitors</t>
  </si>
  <si>
    <t>Ceramic Capacitors</t>
  </si>
  <si>
    <t>Filters</t>
  </si>
  <si>
    <t>Ferrite Beads and Chips</t>
  </si>
  <si>
    <t>Inductors, Coils, Chokes</t>
  </si>
  <si>
    <t>Fixed Inductors</t>
  </si>
  <si>
    <t>2.2µH</t>
  </si>
  <si>
    <t>10000pF</t>
  </si>
  <si>
    <t>0.1µF</t>
  </si>
  <si>
    <t>U1</t>
  </si>
  <si>
    <t>IC HOT-SWAP CTRLR N-CH 10-UMAX</t>
  </si>
  <si>
    <t>MAX5924DEUB+</t>
  </si>
  <si>
    <t>Maxim Integrated</t>
  </si>
  <si>
    <t>10-uMAX</t>
  </si>
  <si>
    <t>http://www.digikey.com/product-detail/en/MAX5924DEUB%2B/MAX5924DEUB%2B-ND/1937481</t>
  </si>
  <si>
    <t>U2</t>
  </si>
  <si>
    <t>MAX5925DEUB+</t>
  </si>
  <si>
    <t>http://www.digikey.com/product-detail/en/MAX5925DEUB%2B/MAX5925DEUB%2B-ND/1937487</t>
  </si>
  <si>
    <t>U3</t>
  </si>
  <si>
    <t>IC EEPROM 64KBIT 400KHZ 8SOIC</t>
  </si>
  <si>
    <t>24LC64-I/SN</t>
  </si>
  <si>
    <t>Microchip Technology</t>
  </si>
  <si>
    <t>8-SOIC N</t>
  </si>
  <si>
    <t>http://www.digikey.com/product-detail/en/24LC64-I%2FSN/24LC64-I%2FSN-ND/273428</t>
  </si>
  <si>
    <t>IC REG LDO ADJ 0.15A 8MSOP</t>
  </si>
  <si>
    <t>TPS7A4901DGNR</t>
  </si>
  <si>
    <t>Texas Instruments</t>
  </si>
  <si>
    <t>8-MSOP-PowerPad</t>
  </si>
  <si>
    <t>http://www.digikey.com/product-detail/en/TPS7A4901DGNR/296-27751-1-ND/2361068</t>
  </si>
  <si>
    <t>IC REG BUCK ADJ 1.2A SOT23-6</t>
  </si>
  <si>
    <t>AOZ1280CI</t>
  </si>
  <si>
    <t>Alpha &amp;amp; Omega Semiconductor Inc</t>
  </si>
  <si>
    <t>SOT-23-6</t>
  </si>
  <si>
    <t>http://www.digikey.com/product-detail/en/AOZ1280CI/785-1277-1-ND/2769845</t>
  </si>
  <si>
    <t>U7</t>
  </si>
  <si>
    <t>IC MCU 32BIT 512KB FLASH 144LQFP</t>
  </si>
  <si>
    <t>ATSAM3X8EA-AU</t>
  </si>
  <si>
    <t>Atmel</t>
  </si>
  <si>
    <t>144-LQFP</t>
  </si>
  <si>
    <t>http://www.digikey.com/product-detail/en/ATSAM3X8EA-AU/ATSAM3X8EA-AU-ND/3128687</t>
  </si>
  <si>
    <t>U8</t>
  </si>
  <si>
    <t>IC INVERTER DUAL 1-INPUT SM8</t>
  </si>
  <si>
    <t>SN74LVC2G240DCTR</t>
  </si>
  <si>
    <t>8-LSSOP (0.11", 2.80mm Width)</t>
  </si>
  <si>
    <t>http://www.digikey.com/product-detail/en/SN74LVC2G240DCTR/296-15588-1-ND/571169</t>
  </si>
  <si>
    <t>U9</t>
  </si>
  <si>
    <t>IC HS DIFF LINE TXRX 8VSSOP</t>
  </si>
  <si>
    <t>SN65LVDM176DGK</t>
  </si>
  <si>
    <t>8-MSOP</t>
  </si>
  <si>
    <t>http://www.digikey.com/product-detail/en/SN65LVDM176DGK/296-6903-5-ND/371612</t>
  </si>
  <si>
    <t>U4</t>
  </si>
  <si>
    <t>USBLC6-2SC6</t>
  </si>
  <si>
    <t>STMicroelectronics</t>
  </si>
  <si>
    <t>http://www.digikey.com/product-detail/en/USBLC6-2SC6/497-5235-1-ND/1121688</t>
  </si>
  <si>
    <t>U10</t>
  </si>
  <si>
    <t>SWITCH TACTILE SPST-NO 0.05A 12V</t>
  </si>
  <si>
    <t>FSMRA7JH</t>
  </si>
  <si>
    <t>TE Connectivity</t>
  </si>
  <si>
    <t>SMA</t>
  </si>
  <si>
    <t>http://www.digikey.com/product-detail/en/FSMRA7JH/450-1661-ND/1632547</t>
  </si>
  <si>
    <t>U11 U17 U18 U19 U20 U21 U23</t>
  </si>
  <si>
    <t>RIGHT ANGLE LIGHT PIPE, 2.8MM</t>
  </si>
  <si>
    <t>RLP1-600-800</t>
  </si>
  <si>
    <t>Bivar Inc</t>
  </si>
  <si>
    <t>SMB</t>
  </si>
  <si>
    <t>http://www.digikey.com/product-detail/en/RLP1-600-800/492-1454-ND/2875081</t>
  </si>
  <si>
    <t>U12</t>
  </si>
  <si>
    <t>CONN DIN PLUG 48POS RT ANG PCB</t>
  </si>
  <si>
    <t>5650478-5</t>
  </si>
  <si>
    <t>http://www.digikey.com/product-detail/en/5650478-5/A32298-ND/811088</t>
  </si>
  <si>
    <t>CONN QMA</t>
  </si>
  <si>
    <t>2622-4035</t>
  </si>
  <si>
    <t>ANO</t>
  </si>
  <si>
    <t>Micrel Inc</t>
  </si>
  <si>
    <t>U14</t>
  </si>
  <si>
    <t>Memory</t>
  </si>
  <si>
    <t>Logic - Gates and Inverters</t>
  </si>
  <si>
    <t>Interface - Drivers, Receivers, Transceivers</t>
  </si>
  <si>
    <t>Circuit Protection</t>
  </si>
  <si>
    <t>TVS - Diodes</t>
  </si>
  <si>
    <t>Switches</t>
  </si>
  <si>
    <t>Tactile Switches</t>
  </si>
  <si>
    <t>Optoelectronics</t>
  </si>
  <si>
    <t>Optics - LEDs - Light Pipes</t>
  </si>
  <si>
    <t>Connectors, Interconnects</t>
  </si>
  <si>
    <t>Backplane Connectors - DIN 41612</t>
  </si>
  <si>
    <t>Logic - Signal Switches, Multiplexers, Decoders</t>
  </si>
  <si>
    <t>ON Semiconductor</t>
  </si>
  <si>
    <t>X1</t>
  </si>
  <si>
    <t>CRYSTAL 12MHZ 18PF SMD</t>
  </si>
  <si>
    <t>7A-12.000MAAJ-T</t>
  </si>
  <si>
    <t>TXC CORPORATION</t>
  </si>
  <si>
    <t>2-SMD</t>
  </si>
  <si>
    <t>http://www.digikey.com/product-detail/en/7A-12.000MAAJ-T/887-1081-1-ND/2118958</t>
  </si>
  <si>
    <t>X2</t>
  </si>
  <si>
    <t>CRYSTAL 32.768KHZ 12.5PF SMD</t>
  </si>
  <si>
    <t>ABS25-32.768KHZ-T</t>
  </si>
  <si>
    <t>Abracon Corporation</t>
  </si>
  <si>
    <t>4-SOJ, 5.50mm pitch</t>
  </si>
  <si>
    <t>http://www.digikey.com/product-detail/en/ABS25-32.768KHZ-T/535-9166-1-ND/675683</t>
  </si>
  <si>
    <t>Crystals and Oscillators</t>
  </si>
  <si>
    <t>Crystals</t>
  </si>
  <si>
    <t>18pF</t>
  </si>
  <si>
    <t>12.5pF</t>
  </si>
  <si>
    <t>http://www.digikey.com/product-detail/en/C1608C0G1H220J080AA/445-1273-1-ND/567670</t>
  </si>
  <si>
    <t>http://www.digikey.com/product-detail/en/C0603C103K5RACTU/399-1091-1-ND/411366</t>
  </si>
  <si>
    <t>http://www.digikey.com/product-detail/en/C0603C104K4RACTU/399-1096-1-ND/411371</t>
  </si>
  <si>
    <t>http://www.digikey.com/product-detail/en/EMK107B7105KA-T/587-1241-1-ND/931018</t>
  </si>
  <si>
    <t>http://www.digikey.com/product-detail/en/C2012X5R1C226K/445-6797-1-ND/2524879</t>
  </si>
  <si>
    <t>D1</t>
  </si>
  <si>
    <t>TVS DIODE 12VWM 19.9VC SMA</t>
  </si>
  <si>
    <t>SMAJ12A</t>
  </si>
  <si>
    <t>Littelfuse Inc</t>
  </si>
  <si>
    <t>http://www.digikey.com/product-detail/en/SMAJ12A/SMAJ12ALFCT-ND/762482</t>
  </si>
  <si>
    <t>D2</t>
  </si>
  <si>
    <t>TVS DIODE 3.3VWM 10.3VC SMB</t>
  </si>
  <si>
    <t>SMLVT3V3</t>
  </si>
  <si>
    <t>http://www.digikey.com/product-detail/en/SMLVT3V3/497-2496-1-ND/603878</t>
  </si>
  <si>
    <t>D3 D6 D7 D8 D9 D11 D12</t>
  </si>
  <si>
    <t>LED RED/GREEN/BLUE PLCC4 SMD</t>
  </si>
  <si>
    <t>CLV1A-FKB-CJ1M1F1BB7R4S3</t>
  </si>
  <si>
    <t>Cree Inc</t>
  </si>
  <si>
    <t>4-PLCC</t>
  </si>
  <si>
    <t>http://www.digikey.com/product-detail/en/CLV1A-FKB-CJ1M1F1BB7R4S3/CLV1A-FKB-CJ1M1F1BB7R4S3CT-ND/1987488</t>
  </si>
  <si>
    <t>DIODE SCHOTTKY 40V 4A SMC</t>
  </si>
  <si>
    <t>MBRS340T3G</t>
  </si>
  <si>
    <t>SMC</t>
  </si>
  <si>
    <t>http://www.digikey.com/product-detail/en/MBRS340T3G/MBRS340T3GOSCT-ND/918009</t>
  </si>
  <si>
    <t>0603 (1608 Metric)</t>
  </si>
  <si>
    <t>TVS DIODE 5VWM 25VC SC75</t>
  </si>
  <si>
    <t>RCLAMP0502BATCT</t>
  </si>
  <si>
    <t>Semtech</t>
  </si>
  <si>
    <t>SC-75</t>
  </si>
  <si>
    <t>http://www.digikey.com/product-detail/en/RCLAMP0502BA.TCT/RCLAMP0502BACT-ND/2603606</t>
  </si>
  <si>
    <t>FERRITE CHIP 600 OHM 1300MA 0603</t>
  </si>
  <si>
    <t>BLM18KG601SN1D</t>
  </si>
  <si>
    <t>Murata Electronics North America</t>
  </si>
  <si>
    <t>http://www.digikey.com/product-detail/en/BLM18KG601SN1D/490-5258-1-ND/1982781</t>
  </si>
  <si>
    <t>Panasonic Electronic Components</t>
  </si>
  <si>
    <t>J1</t>
  </si>
  <si>
    <t>CONN HEADER 2.54MM 20POS GOLD</t>
  </si>
  <si>
    <t>SBH11-PBPC-D10-ST-BK</t>
  </si>
  <si>
    <t>Sullins Connector Solutions</t>
  </si>
  <si>
    <t>http://www.digikey.com/product-detail/en/SBH11-PBPC-D10-ST-BK/S9172-ND/1990065</t>
  </si>
  <si>
    <t>J2</t>
  </si>
  <si>
    <t>CONN MINI MICRO-SD 8PIN PCB GOLD</t>
  </si>
  <si>
    <t>114-00841-68</t>
  </si>
  <si>
    <t>Amphenol Commercial Products</t>
  </si>
  <si>
    <t>http://www.digikey.com/product-detail/en/114-00841-68/114-00841-68-1-ND/2187101</t>
  </si>
  <si>
    <t>INDUCTOR 2.2UH 4.2A 30% SMD</t>
  </si>
  <si>
    <t>NR6028T2R2N</t>
  </si>
  <si>
    <t>Taiyo Yuden</t>
  </si>
  <si>
    <t>-</t>
  </si>
  <si>
    <t>http://www.digikey.com/product-detail/en/NR6028T2R2N/587-2098-1-ND/1866238</t>
  </si>
  <si>
    <t>L2</t>
  </si>
  <si>
    <t>P1</t>
  </si>
  <si>
    <t>CONN HEADER 8POS .100 R/A 30AU</t>
  </si>
  <si>
    <t>Q1</t>
  </si>
  <si>
    <t>MOSFET P-CH 12V 7.1A SOT23-3</t>
  </si>
  <si>
    <t>SI2333CDS-T1-E3</t>
  </si>
  <si>
    <t>Vishay Siliconix</t>
  </si>
  <si>
    <t>SOT-23-3 (TO-236)</t>
  </si>
  <si>
    <t>http://www.digikey.com/product-detail/en/SI2333CDS-T1-E3/SI2333CDS-T1-E3CT-ND/1978883</t>
  </si>
  <si>
    <t>Q2 Q3</t>
  </si>
  <si>
    <t>MOSFET N-CH 25V 35A TO-252AA</t>
  </si>
  <si>
    <t>FDD8780</t>
  </si>
  <si>
    <t>Fairchild Semiconductor</t>
  </si>
  <si>
    <t>D-Pak</t>
  </si>
  <si>
    <t>http://www.digikey.com/product-detail/en/FDD8780/FDD8780CT-ND/1305821</t>
  </si>
  <si>
    <t>R9</t>
  </si>
  <si>
    <t>RES 0.03 OHM 1/2W 1% 0805 SMD</t>
  </si>
  <si>
    <t>ERJ-6BWFR030V</t>
  </si>
  <si>
    <t>http://www.digikey.com/product-detail/en/ERJ-6BWFR030V/P.03AQCT-ND/1466382</t>
  </si>
  <si>
    <t>R2 R3</t>
  </si>
  <si>
    <t>RES 10.0 OHM 1/10W 1% 0603 SMD</t>
  </si>
  <si>
    <t>RC0603FR-0710RL</t>
  </si>
  <si>
    <t>Yageo</t>
  </si>
  <si>
    <t>http://www.digikey.com/product-detail/en/RC0603FR-0710RL/311-10.0HRCT-ND/729826</t>
  </si>
  <si>
    <t>http://www.digikey.com/product-detail/en/ERJ-3EKF19R1V/P19.1HCT-ND/198211</t>
  </si>
  <si>
    <t>R23 R24</t>
  </si>
  <si>
    <t>RES 62 OHM 1/10W 1% 0603 SMD</t>
  </si>
  <si>
    <t>ERJ-3EKF62R0V</t>
  </si>
  <si>
    <t>http://www.digikey.com/product-detail/en/ERJ-3EKF62R0V/P62.0HCT-ND/1746800</t>
  </si>
  <si>
    <t>RES 100 OHM 1/10W 1% 0603 SMD</t>
  </si>
  <si>
    <t>ERJ-3EKF1000V</t>
  </si>
  <si>
    <t>http://www.digikey.com/product-detail/en/ERJ-3EKF1000V/P100HCT-ND/198109</t>
  </si>
  <si>
    <t>RES 220 OHM 1/10W 1% 0603 SMD</t>
  </si>
  <si>
    <t>RC0603FR-07220RL</t>
  </si>
  <si>
    <t>http://www.digikey.com/product-detail/en/RC0603FR-07220RL/311-220HRCT-ND/730008</t>
  </si>
  <si>
    <t>RES 249 OHM 1/10W 1% 0603 SMD</t>
  </si>
  <si>
    <t>ERJ-3EKF2490V</t>
  </si>
  <si>
    <t>http://www.digikey.com/product-detail/en/ERJ-3EKF2490V/P249HCT-ND/198274</t>
  </si>
  <si>
    <t>R10</t>
  </si>
  <si>
    <t>RES 270 OHM 1/10W 1% 0603 SMD</t>
  </si>
  <si>
    <t>ERJ-3EKF2700V</t>
  </si>
  <si>
    <t>http://www.digikey.com/product-detail/en/ERJ-3EKF2700V/P270HCT-ND/1746751</t>
  </si>
  <si>
    <t>RES 680 OHM 1/10W 1% 0603 SMD</t>
  </si>
  <si>
    <t>RC0603FR-07680RL</t>
  </si>
  <si>
    <t>http://www.digikey.com/product-detail/en/RC0603FR-07680RL/311-680HRCT-ND/730302</t>
  </si>
  <si>
    <t>R4 R8</t>
  </si>
  <si>
    <t>RES 2K OHM 1/10W 1% 0603 SMD</t>
  </si>
  <si>
    <t>ERJ-3EKF2001V</t>
  </si>
  <si>
    <t>http://www.digikey.com/product-detail/en/ERJ-3EKF2001V/P2.00KHCT-ND/198219</t>
  </si>
  <si>
    <t>R14 R25</t>
  </si>
  <si>
    <t>RES 6.8K OHM 1/10W 1% 0603 SMD</t>
  </si>
  <si>
    <t>ERJ-3EKF6801V</t>
  </si>
  <si>
    <t>http://www.digikey.com/product-detail/en/ERJ-3EKF6801V/P6.80KHCT-ND/1746802</t>
  </si>
  <si>
    <t>http://www.digikey.com/product-detail/en/ERJ-3EKF1002V/P10.0KHCT-ND/198102</t>
  </si>
  <si>
    <t>RES 12K OHM 1/10W 1% 0603 SMD</t>
  </si>
  <si>
    <t>ERJ-3EKF1202V</t>
  </si>
  <si>
    <t>http://www.digikey.com/product-detail/en/ERJ-3EKF1202V/P12.0KHCT-ND/1746728</t>
  </si>
  <si>
    <t>RES 15.8K OHM 1/10W 1% 0603 SMD</t>
  </si>
  <si>
    <t>RC0603FR-0715K8L</t>
  </si>
  <si>
    <t>http://www.digikey.com/product-detail/en/RC0603FR-0715K8L/311-15.8KHRCT-ND/729904</t>
  </si>
  <si>
    <t>R30 R31 R32 R33</t>
  </si>
  <si>
    <t>RES 47K OHM 1/10W 1% 0603 SMD</t>
  </si>
  <si>
    <t>ERJ-3EKF4702V</t>
  </si>
  <si>
    <t>http://www.digikey.com/product-detail/en/ERJ-3EKF4702V/P47.0KHCT-ND/1746783</t>
  </si>
  <si>
    <t>RES 49.9K OHM 1/10W 1% 0603 SMD</t>
  </si>
  <si>
    <t>RC0603FR-0749K9L</t>
  </si>
  <si>
    <t>http://www.digikey.com/product-detail/en/RC0603FR-0749K9L/311-49.9KHRCT-ND/730212</t>
  </si>
  <si>
    <t>R17 R18 R19 R20 R21 R22 R52</t>
  </si>
  <si>
    <t>RES 100K OHM 1/10W 1% 0603 SMD</t>
  </si>
  <si>
    <t>ERJ-3EKF1003V</t>
  </si>
  <si>
    <t>http://www.digikey.com/product-detail/en/ERJ-3EKF1003V/P100KHCT-ND/198110</t>
  </si>
  <si>
    <t>R7</t>
  </si>
  <si>
    <t>RES 390K OHM 1/10W 1% 0603 SMD</t>
  </si>
  <si>
    <t>RC0603FR-07390KL</t>
  </si>
  <si>
    <t>http://www.digikey.com/product-detail/en/RC0603FR-07390KL/311-390KHRCT-ND/730146</t>
  </si>
  <si>
    <t>R11</t>
  </si>
  <si>
    <t>RES 120K OHM 1/10W 1% 0603 SMD</t>
  </si>
  <si>
    <t>ERJ-3EKF1203V</t>
  </si>
  <si>
    <t>http://www.digikey.com/product-detail/en/ERJ-3EKF1203V/P120KHCT-ND/1746729</t>
  </si>
  <si>
    <t>1k</t>
  </si>
  <si>
    <t>TDK Corporation</t>
  </si>
  <si>
    <t>C1608C0G1H220J080AA</t>
  </si>
  <si>
    <t>CAP CER 22PF 50V 5% NP0 0603</t>
  </si>
  <si>
    <t>22pF</t>
  </si>
  <si>
    <t>Kemet</t>
  </si>
  <si>
    <t>C0603C103K5RACTU</t>
  </si>
  <si>
    <t>CAP CER 10000PF 50V 10% X7R 0603</t>
  </si>
  <si>
    <t>C0603C104K4RACTU</t>
  </si>
  <si>
    <t>CAP CER 0.1UF 16V 10% X7R 0603</t>
  </si>
  <si>
    <t>EMK107B7105KA-T</t>
  </si>
  <si>
    <t>CAP CER 1UF 16V 10% X7R 0603</t>
  </si>
  <si>
    <t>1.0µF</t>
  </si>
  <si>
    <t>10µF</t>
  </si>
  <si>
    <t>0805 (2012 Metric)</t>
  </si>
  <si>
    <t>C2012X5R1C226K125AC</t>
  </si>
  <si>
    <t>CAP CER 22UF 16V 10% X5R 0805</t>
  </si>
  <si>
    <t>22µF</t>
  </si>
  <si>
    <t>LED Indication - Discrete</t>
  </si>
  <si>
    <t>Discrete Semiconductor Products</t>
  </si>
  <si>
    <t>Diodes, Rectifiers - Single</t>
  </si>
  <si>
    <t>Rectangular Connectors - Headers, Male Pins</t>
  </si>
  <si>
    <t>Memory Connectors - PC Cards</t>
  </si>
  <si>
    <t>FETs - Single</t>
  </si>
  <si>
    <t>RES 12.4 OHM 1/10W 1% 0603 SMD</t>
  </si>
  <si>
    <t>ERJ-3EKF19R1V</t>
  </si>
  <si>
    <t>RES 19.1 OHM 1/10W 1% 0603 SMD</t>
  </si>
  <si>
    <t>2k</t>
  </si>
  <si>
    <t>6.8k</t>
  </si>
  <si>
    <t>ERJ-3EKF1002V</t>
  </si>
  <si>
    <t>RES 10K OHM 1/10W 1% 0603 SMD</t>
  </si>
  <si>
    <t>10k</t>
  </si>
  <si>
    <t>12k</t>
  </si>
  <si>
    <t>15.8k</t>
  </si>
  <si>
    <t>47k</t>
  </si>
  <si>
    <t>49.9k</t>
  </si>
  <si>
    <t>100k</t>
  </si>
  <si>
    <t>390k</t>
  </si>
  <si>
    <t>120k</t>
  </si>
  <si>
    <t xml:space="preserve">Missing in Kicad: </t>
  </si>
  <si>
    <t>http://www.digikey.com/product-detail/en/ERJ-3EKF1001V/P1.00KHCT-ND/198071</t>
  </si>
  <si>
    <t>ERJ-3EKF1001V</t>
  </si>
  <si>
    <t>RES 1K OHM 1/10W 1% 0603 SMD</t>
  </si>
  <si>
    <t xml:space="preserve">Missing in BoM: B1 B2 B3 B5 B4 B6 U15 U16 U51 U52 U53 U54 </t>
  </si>
  <si>
    <t>49,9</t>
  </si>
  <si>
    <t>19,1</t>
  </si>
  <si>
    <t>12,4</t>
  </si>
  <si>
    <t>0,03</t>
  </si>
  <si>
    <t>http://www.digikey.com/product-detail/en/NB4L52MNG/NB4L52MNGOS-ND/1483124</t>
  </si>
  <si>
    <t>http://www.digikey.com/product-detail/en/SN74LVC1T45DBVR/296-16843-1-ND/639459</t>
  </si>
  <si>
    <t>http://www.digikey.com/product-detail/en/SN74LVC1G175DBVR/296-17617-1-ND/706599</t>
  </si>
  <si>
    <t>http://www.digikey.com/product-detail/en/SY89840UMG/576-1434-ND/772026</t>
  </si>
  <si>
    <t>http://www.digikey.com/product-detail/en/MAX9203EKA%2BT/MAX9203EKA%2BTCT-ND/2234713</t>
  </si>
  <si>
    <t>http://www.digikey.com/product-detail/en/132203/ACX1234-ND/1011911</t>
  </si>
  <si>
    <t>http://www.digikey.com/product-detail/en/GRM188R60J106ME47D/490-3896-1-ND/965938</t>
  </si>
  <si>
    <t>http://www.digikey.com/product-detail/en/CL10C101JB8NNNC/1276-1008-1-ND/3889094</t>
  </si>
  <si>
    <t>http://www.digikey.com/product-detail/en/ERJ-3EKF1102V/P11.0KHCT-ND/198119</t>
  </si>
  <si>
    <t>http://www.digikey.com/product-detail/en/ERJ-3EKF3001V/P3.00KHCT-ND/1746757</t>
  </si>
  <si>
    <t>http://www.digikey.com/product-detail/en/ERJ-3EKF1501V/P1.50KHCT-ND/198088</t>
  </si>
  <si>
    <t>http://www.digikey.com/product-detail/en/ERJ-3EKF1201V/P1.20KHCT-ND/1746727</t>
  </si>
  <si>
    <t>http://www.digikey.com/product-detail/en/ERJ-3EKF5100V/P510HCT-ND/1746786</t>
  </si>
  <si>
    <t>http://www.digikey.com/product-detail/en/RC0603FR-07240RL/311-240HRCT-ND/730028</t>
  </si>
  <si>
    <t>http://www.digikey.com/product-detail/en/ERJ-3EKF49R9V/P49.9HCT-ND/198412</t>
  </si>
  <si>
    <t>http://www.digikey.com/product-detail/en/ERJ-3EKF39R0V/P39.0HCT-ND/1746775</t>
  </si>
  <si>
    <t>http://www.digikey.com/product-detail/en/RC0603FR-0712R4L/311-12.4HRCT-ND/729863</t>
  </si>
  <si>
    <t>http://www.digikey.com/product-detail/en/ERJ-3GEY0R00V/P0.0GCT-ND/134711</t>
  </si>
  <si>
    <t>U5 U35</t>
  </si>
  <si>
    <t>U6</t>
  </si>
  <si>
    <t>U30 U31</t>
  </si>
  <si>
    <t>U13 U33 U34</t>
  </si>
  <si>
    <t>U29</t>
  </si>
  <si>
    <t>U32 U36</t>
  </si>
  <si>
    <t>U24 U26 U27</t>
  </si>
  <si>
    <t>FB1 FB2 FB3 FB4 FB5</t>
  </si>
  <si>
    <t>C5 C13 C22</t>
  </si>
  <si>
    <t>C4 C12 C19 C23 C37 C45 C52 C53 C71 C73</t>
  </si>
  <si>
    <t>C1 C2</t>
  </si>
  <si>
    <t>C7 C8 C9 C10 C11 C14 C17 C21 C24 C25 C26 C29 C30 C32 C33 C34 C35 C36 C38 C39 C40 C41 C42 C43 C44 C46 C49 C50 C51 C16 C66 C67 C68 C69 C74 C75 C76</t>
  </si>
  <si>
    <t>C3 C6 C18 C70 C72 C20 C54 C55 C57 C58 C59 C60 C61 C62 C63</t>
  </si>
  <si>
    <t>C15</t>
  </si>
  <si>
    <t>D4</t>
  </si>
  <si>
    <t>D13 D14 D15 D16 D17 D18</t>
  </si>
  <si>
    <t>R53</t>
  </si>
  <si>
    <t>R54</t>
  </si>
  <si>
    <t>R13 R92 R94</t>
  </si>
  <si>
    <t>R98</t>
  </si>
  <si>
    <t>R1 R6 R15 R16 R27 R28 R29 R34 R35 R84 R86 R99</t>
  </si>
  <si>
    <t>R70</t>
  </si>
  <si>
    <t>R74 R76</t>
  </si>
  <si>
    <t>R75 R77</t>
  </si>
  <si>
    <t>R36 R38 R39 R40 R41 R42 R45 R47 R49 R51 R55 R56 R58 R60 R62 R64</t>
  </si>
  <si>
    <t>R63 R69</t>
  </si>
  <si>
    <t>R78 R79</t>
  </si>
  <si>
    <t>R72</t>
  </si>
  <si>
    <t>R37 R44 R46 R48 R50 R57 R59 R67 R68</t>
  </si>
  <si>
    <t>R12 R26 R43</t>
  </si>
  <si>
    <t>R73</t>
  </si>
  <si>
    <t>R90 R91</t>
  </si>
  <si>
    <t>R80 R81</t>
  </si>
  <si>
    <t>C56</t>
  </si>
  <si>
    <t>P2</t>
  </si>
  <si>
    <t>R5 R65 R71 R85 R87</t>
  </si>
  <si>
    <t>U22 U25 U28</t>
  </si>
  <si>
    <t>CONN HEADER 40POS .100 R/A</t>
  </si>
  <si>
    <t>DO NOT POPULATE</t>
  </si>
  <si>
    <t>TVS DIODE 5.25VWM 17VC SOT23-6</t>
  </si>
  <si>
    <t>NB4L52MNG</t>
  </si>
  <si>
    <t>IC D-TYPE NEG TRG SNGL 16QFN</t>
  </si>
  <si>
    <t>Logic - Flip Flops</t>
  </si>
  <si>
    <t>16-VFQFN Exposed Pad</t>
  </si>
  <si>
    <t>SN74LVC1T45DBVR</t>
  </si>
  <si>
    <t>IC BUS TRANSCVR TRI-ST SOT23-6</t>
  </si>
  <si>
    <t>Logic - Translators</t>
  </si>
  <si>
    <t>SN74LVC1G175DBVR</t>
  </si>
  <si>
    <t>IC D-TYPE POS TRG SNGL SOT23-6</t>
  </si>
  <si>
    <t>3pF</t>
  </si>
  <si>
    <t>SY89840UMG</t>
  </si>
  <si>
    <t>IC MUX 2:1 LVPECL DIFF 16MLF</t>
  </si>
  <si>
    <t>16-MLF® (3x3)</t>
  </si>
  <si>
    <t>MAX9203EKA+T</t>
  </si>
  <si>
    <t>IC COMPARATOR LP SOT23-8</t>
  </si>
  <si>
    <t>Linear - Comparators</t>
  </si>
  <si>
    <t>SOT-23-8</t>
  </si>
  <si>
    <t>Amphenol Connex</t>
  </si>
  <si>
    <t>CONN SMA JACK R/A 50 OHM PCB</t>
  </si>
  <si>
    <t>Coaxial Connectors (RF)</t>
  </si>
  <si>
    <t>GRM188R60J106ME47D</t>
  </si>
  <si>
    <t>CAP CER 10UF 6.3V 20% X5R 0603</t>
  </si>
  <si>
    <t>Samsung Electro-Mechanics America, Inc</t>
  </si>
  <si>
    <t>CL10C101JB8NNNC</t>
  </si>
  <si>
    <t>CAP CER 100PF 50V 5% NP0 0603</t>
  </si>
  <si>
    <t>100pF</t>
  </si>
  <si>
    <t>ERJ-3EKF1102V</t>
  </si>
  <si>
    <t>RES 11K OHM 1/10W 1% 0603 SMD</t>
  </si>
  <si>
    <t>11k</t>
  </si>
  <si>
    <t>ERJ-3EKF3001V</t>
  </si>
  <si>
    <t>RES 3K OHM 1/10W 1% 0603 SMD</t>
  </si>
  <si>
    <t>3k</t>
  </si>
  <si>
    <t>ERJ-3EKF1501V</t>
  </si>
  <si>
    <t>RES 1.5K OHM 1/10W 1% 0603 SMD</t>
  </si>
  <si>
    <t>1.5k</t>
  </si>
  <si>
    <t>ERJ-3EKF1201V</t>
  </si>
  <si>
    <t>RES 1.2K OHM 1/10W 1% 0603 SMD</t>
  </si>
  <si>
    <t>1.2k</t>
  </si>
  <si>
    <t>ERJ-3EKF5100V</t>
  </si>
  <si>
    <t>RES 510 OHM 1/10W 1% 0603 SMD</t>
  </si>
  <si>
    <t>RC0603FR-07240RL</t>
  </si>
  <si>
    <t>RES 240 OHM 1/10W 1% 0603 SMD</t>
  </si>
  <si>
    <t>ERJ-3EKF49R9V</t>
  </si>
  <si>
    <t>RES 49.9 OHM 1/10W 1% 0603 SMD</t>
  </si>
  <si>
    <t>ERJ-3EKF39R0V</t>
  </si>
  <si>
    <t>RES 39 OHM 1/10W 1% 0603 SMD</t>
  </si>
  <si>
    <t>RC0603FR-0712R4L</t>
  </si>
  <si>
    <t>ERJ-3GEY0R00V</t>
  </si>
  <si>
    <t>RES 0.0 OHM 1/10W JUMP 0603 SMD</t>
  </si>
  <si>
    <t>R66 R93 R95</t>
  </si>
  <si>
    <t>C27 C28 C31 C47 C48 C64 C65</t>
  </si>
  <si>
    <t>R61 R82 R83 R88 R89 R96 R97</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</si>
</sst>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22"/>
      <color theme="1"/>
      <name val="Calibri"/>
      <family val="2"/>
      <scheme val="minor"/>
    </font>
    <font>
      <sz val="16"/>
      <color rgb="FF000000"/>
      <name val="Calibri"/>
      <family val="2"/>
    </font>
    <font>
      <b/>
      <sz val="8"/>
      <name val="Arial"/>
      <family val="2"/>
    </font>
    <font>
      <b/>
      <sz val="10"/>
      <color theme="1"/>
      <name val="Arial"/>
      <family val="2"/>
    </font>
    <font>
      <b/>
      <sz val="8"/>
      <color theme="1"/>
      <name val="Arial"/>
      <family val="2"/>
    </font>
    <font>
      <b/>
      <sz val="9"/>
      <color theme="1"/>
      <name val="Arial"/>
      <family val="2"/>
    </font>
  </fonts>
  <fills count="17">
    <fill>
      <patternFill patternType="none"/>
    </fill>
    <fill>
      <patternFill patternType="gray125"/>
    </fill>
    <fill>
      <patternFill patternType="solid">
        <fgColor theme="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51"/>
        <bgColor indexed="64"/>
      </patternFill>
    </fill>
    <fill>
      <patternFill patternType="solid">
        <fgColor rgb="FFFF0000"/>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2"/>
        <bgColor indexed="64"/>
      </patternFill>
    </fill>
    <fill>
      <patternFill patternType="solid">
        <fgColor rgb="FF00FF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190">
    <xf numFmtId="0" fontId="0" fillId="0" borderId="0" xfId="0"/>
    <xf numFmtId="0" fontId="1" fillId="0" borderId="0" xfId="0" applyFont="1" applyBorder="1" applyAlignment="1"/>
    <xf numFmtId="0" fontId="0" fillId="0" borderId="0" xfId="0" applyAlignment="1">
      <alignment horizontal="center"/>
    </xf>
    <xf numFmtId="0" fontId="0" fillId="0" borderId="0" xfId="0" applyBorder="1"/>
    <xf numFmtId="0" fontId="5" fillId="0" borderId="0" xfId="0" applyFont="1"/>
    <xf numFmtId="0" fontId="7" fillId="2" borderId="4" xfId="1" applyFont="1" applyFill="1" applyBorder="1" applyAlignment="1">
      <alignment horizontal="center" vertical="center"/>
    </xf>
    <xf numFmtId="0" fontId="7" fillId="2" borderId="4" xfId="0" applyFont="1" applyFill="1" applyBorder="1" applyAlignment="1">
      <alignment horizontal="center"/>
    </xf>
    <xf numFmtId="0" fontId="9" fillId="0" borderId="2" xfId="0" applyFont="1" applyBorder="1" applyAlignment="1">
      <alignment horizontal="center"/>
    </xf>
    <xf numFmtId="0" fontId="9" fillId="0" borderId="6" xfId="0" applyFont="1" applyBorder="1" applyAlignment="1">
      <alignment horizontal="center"/>
    </xf>
    <xf numFmtId="0" fontId="6" fillId="2" borderId="0" xfId="1" applyFont="1" applyFill="1" applyBorder="1" applyAlignment="1">
      <alignment horizontal="center" vertical="center" wrapText="1"/>
    </xf>
    <xf numFmtId="0" fontId="7" fillId="2" borderId="0" xfId="0" applyFont="1" applyFill="1" applyBorder="1" applyAlignment="1">
      <alignment horizontal="center"/>
    </xf>
    <xf numFmtId="0" fontId="7" fillId="2" borderId="0" xfId="1" applyFont="1" applyFill="1" applyBorder="1" applyAlignment="1">
      <alignment horizontal="center" vertical="center"/>
    </xf>
    <xf numFmtId="0" fontId="8" fillId="2" borderId="0" xfId="2" applyFont="1" applyFill="1" applyBorder="1" applyAlignment="1" applyProtection="1">
      <alignment horizontal="center"/>
    </xf>
    <xf numFmtId="0" fontId="6" fillId="2" borderId="8" xfId="1" applyFont="1" applyFill="1" applyBorder="1" applyAlignment="1">
      <alignment horizontal="center" vertical="center" wrapText="1"/>
    </xf>
    <xf numFmtId="0" fontId="10" fillId="2" borderId="4" xfId="0" applyFont="1" applyFill="1" applyBorder="1" applyAlignment="1">
      <alignment horizontal="center"/>
    </xf>
    <xf numFmtId="0" fontId="10" fillId="2" borderId="0" xfId="0" applyFont="1" applyFill="1" applyBorder="1" applyAlignment="1">
      <alignment horizontal="center"/>
    </xf>
    <xf numFmtId="0" fontId="9" fillId="2" borderId="2" xfId="1" applyFont="1" applyFill="1" applyBorder="1" applyAlignment="1">
      <alignment horizontal="center" vertical="center" wrapText="1"/>
    </xf>
    <xf numFmtId="0" fontId="9" fillId="2" borderId="9" xfId="1" applyFont="1" applyFill="1" applyBorder="1" applyAlignment="1">
      <alignment horizontal="center" vertical="center" wrapText="1"/>
    </xf>
    <xf numFmtId="0" fontId="8" fillId="2" borderId="4" xfId="2" applyFont="1" applyFill="1" applyBorder="1" applyAlignment="1" applyProtection="1">
      <alignment horizontal="center"/>
    </xf>
    <xf numFmtId="0" fontId="0" fillId="0" borderId="4" xfId="0" applyBorder="1"/>
    <xf numFmtId="0" fontId="0" fillId="0" borderId="5" xfId="0" applyBorder="1"/>
    <xf numFmtId="0" fontId="9" fillId="0" borderId="13" xfId="0" applyFont="1" applyBorder="1" applyAlignment="1">
      <alignment horizontal="center"/>
    </xf>
    <xf numFmtId="0" fontId="3" fillId="0" borderId="12" xfId="1" applyFont="1" applyBorder="1" applyAlignment="1">
      <alignment horizontal="center" vertical="center" wrapText="1"/>
    </xf>
    <xf numFmtId="0" fontId="3" fillId="0" borderId="18" xfId="1" applyFont="1" applyBorder="1" applyAlignment="1">
      <alignment horizontal="center" vertical="center" wrapText="1"/>
    </xf>
    <xf numFmtId="0" fontId="3" fillId="0" borderId="19" xfId="1" applyFont="1" applyBorder="1" applyAlignment="1">
      <alignment horizontal="center" vertical="center" wrapText="1"/>
    </xf>
    <xf numFmtId="0" fontId="3" fillId="0" borderId="20" xfId="1" applyFont="1" applyBorder="1" applyAlignment="1">
      <alignment horizontal="center" vertical="center" wrapText="1"/>
    </xf>
    <xf numFmtId="0" fontId="3" fillId="0" borderId="21" xfId="1" applyFont="1" applyBorder="1" applyAlignment="1">
      <alignment horizontal="center" vertical="center" wrapText="1"/>
    </xf>
    <xf numFmtId="0" fontId="3" fillId="0" borderId="22" xfId="1" applyFont="1" applyBorder="1" applyAlignment="1">
      <alignment horizontal="center" vertical="center" wrapText="1"/>
    </xf>
    <xf numFmtId="0" fontId="13" fillId="3" borderId="10" xfId="1" applyFont="1" applyFill="1" applyBorder="1" applyAlignment="1">
      <alignment horizontal="center" vertical="center" wrapText="1"/>
    </xf>
    <xf numFmtId="0" fontId="13" fillId="3" borderId="10" xfId="1" applyFont="1" applyFill="1" applyBorder="1" applyAlignment="1">
      <alignment horizontal="center" vertical="center"/>
    </xf>
    <xf numFmtId="0" fontId="13" fillId="3" borderId="11" xfId="1" applyFont="1" applyFill="1" applyBorder="1" applyAlignment="1">
      <alignment horizontal="center" vertical="center" wrapText="1"/>
    </xf>
    <xf numFmtId="0" fontId="13" fillId="3" borderId="1" xfId="1"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3" borderId="3" xfId="1" applyFont="1" applyFill="1" applyBorder="1" applyAlignment="1">
      <alignment horizontal="center" vertical="center" wrapText="1"/>
    </xf>
    <xf numFmtId="0" fontId="13" fillId="3" borderId="1" xfId="1" applyFont="1" applyFill="1" applyBorder="1" applyAlignment="1">
      <alignment horizontal="center" vertical="center"/>
    </xf>
    <xf numFmtId="0" fontId="13" fillId="4" borderId="1" xfId="1" applyFont="1" applyFill="1" applyBorder="1" applyAlignment="1">
      <alignment horizontal="center" vertical="center" wrapText="1"/>
    </xf>
    <xf numFmtId="0" fontId="13" fillId="4" borderId="1" xfId="1" applyFont="1" applyFill="1" applyBorder="1" applyAlignment="1">
      <alignment horizontal="center" vertical="center"/>
    </xf>
    <xf numFmtId="0" fontId="13" fillId="4" borderId="3" xfId="1" applyFont="1" applyFill="1" applyBorder="1" applyAlignment="1">
      <alignment horizontal="center" vertical="center"/>
    </xf>
    <xf numFmtId="0" fontId="13" fillId="5" borderId="1" xfId="1" applyFont="1" applyFill="1" applyBorder="1" applyAlignment="1">
      <alignment horizontal="center" vertical="center" wrapText="1"/>
    </xf>
    <xf numFmtId="0" fontId="13" fillId="5" borderId="1" xfId="1" applyFont="1" applyFill="1" applyBorder="1" applyAlignment="1">
      <alignment horizontal="center" vertical="center"/>
    </xf>
    <xf numFmtId="0" fontId="13" fillId="6" borderId="1" xfId="1" applyFont="1" applyFill="1" applyBorder="1" applyAlignment="1">
      <alignment horizontal="center" vertical="center" wrapText="1"/>
    </xf>
    <xf numFmtId="0" fontId="13" fillId="6" borderId="1" xfId="1" applyFont="1" applyFill="1" applyBorder="1" applyAlignment="1">
      <alignment horizontal="center" vertical="center"/>
    </xf>
    <xf numFmtId="0" fontId="13" fillId="6" borderId="3" xfId="1" applyFont="1" applyFill="1" applyBorder="1" applyAlignment="1">
      <alignment horizontal="center" vertical="center" wrapText="1"/>
    </xf>
    <xf numFmtId="0" fontId="13" fillId="7" borderId="1" xfId="1" applyFont="1" applyFill="1" applyBorder="1" applyAlignment="1">
      <alignment horizontal="center" vertical="center" wrapText="1"/>
    </xf>
    <xf numFmtId="0" fontId="13" fillId="7" borderId="1" xfId="1" applyFont="1" applyFill="1" applyBorder="1" applyAlignment="1">
      <alignment horizontal="center" vertical="center"/>
    </xf>
    <xf numFmtId="0" fontId="14" fillId="2" borderId="16" xfId="1" applyFont="1" applyFill="1" applyBorder="1" applyAlignment="1">
      <alignment horizontal="center" vertical="center" wrapText="1"/>
    </xf>
    <xf numFmtId="0" fontId="15" fillId="2" borderId="8" xfId="0" applyFont="1" applyFill="1" applyBorder="1" applyAlignment="1">
      <alignment horizontal="center"/>
    </xf>
    <xf numFmtId="0" fontId="15" fillId="2" borderId="6" xfId="0" applyFont="1" applyFill="1" applyBorder="1" applyAlignment="1">
      <alignment horizontal="center"/>
    </xf>
    <xf numFmtId="0" fontId="16" fillId="2" borderId="4" xfId="0" applyFont="1" applyFill="1" applyBorder="1" applyAlignment="1">
      <alignment horizontal="center"/>
    </xf>
    <xf numFmtId="0" fontId="15" fillId="2" borderId="10" xfId="0" applyFont="1" applyFill="1" applyBorder="1" applyAlignment="1">
      <alignment horizontal="center"/>
    </xf>
    <xf numFmtId="0" fontId="16" fillId="2" borderId="11" xfId="0" applyFont="1" applyFill="1" applyBorder="1" applyAlignment="1">
      <alignment horizontal="center"/>
    </xf>
    <xf numFmtId="0" fontId="15" fillId="0" borderId="1" xfId="0" applyFont="1" applyBorder="1" applyAlignment="1">
      <alignment horizontal="center" vertical="center"/>
    </xf>
    <xf numFmtId="0" fontId="16" fillId="0" borderId="3" xfId="0" applyFont="1" applyBorder="1" applyAlignment="1">
      <alignment horizontal="center" vertical="center"/>
    </xf>
    <xf numFmtId="0" fontId="15" fillId="0" borderId="4" xfId="0" applyFont="1" applyBorder="1" applyAlignment="1">
      <alignment horizontal="center" vertical="center"/>
    </xf>
    <xf numFmtId="0" fontId="16" fillId="0" borderId="5" xfId="0" applyFont="1" applyBorder="1" applyAlignment="1">
      <alignment horizontal="center" vertical="center"/>
    </xf>
    <xf numFmtId="0" fontId="0" fillId="2" borderId="0" xfId="0" applyFill="1" applyBorder="1"/>
    <xf numFmtId="0" fontId="0" fillId="2" borderId="0" xfId="0" applyFill="1"/>
    <xf numFmtId="0" fontId="10" fillId="2" borderId="0" xfId="0" applyFont="1" applyFill="1" applyBorder="1" applyAlignment="1">
      <alignment horizontal="center" vertical="center"/>
    </xf>
    <xf numFmtId="0" fontId="3" fillId="2" borderId="15" xfId="1" applyFont="1" applyFill="1" applyBorder="1" applyAlignment="1">
      <alignment horizontal="center" vertical="center" wrapText="1"/>
    </xf>
    <xf numFmtId="0" fontId="13" fillId="2" borderId="7" xfId="1" applyFont="1" applyFill="1" applyBorder="1" applyAlignment="1">
      <alignment horizontal="center"/>
    </xf>
    <xf numFmtId="0" fontId="13" fillId="2" borderId="2" xfId="1" applyFont="1" applyFill="1" applyBorder="1" applyAlignment="1">
      <alignment horizontal="center" wrapText="1"/>
    </xf>
    <xf numFmtId="0" fontId="13" fillId="2" borderId="1" xfId="1" applyFont="1" applyFill="1" applyBorder="1" applyAlignment="1">
      <alignment horizontal="center"/>
    </xf>
    <xf numFmtId="3" fontId="13" fillId="2" borderId="1" xfId="1" applyNumberFormat="1" applyFont="1" applyFill="1" applyBorder="1" applyAlignment="1">
      <alignment horizontal="center" wrapText="1"/>
    </xf>
    <xf numFmtId="0" fontId="13" fillId="2" borderId="1" xfId="1" applyFont="1" applyFill="1" applyBorder="1" applyAlignment="1">
      <alignment horizontal="center" vertical="center" wrapText="1"/>
    </xf>
    <xf numFmtId="0" fontId="13" fillId="2" borderId="1" xfId="1" applyFont="1" applyFill="1" applyBorder="1" applyAlignment="1">
      <alignment horizontal="center" vertical="center"/>
    </xf>
    <xf numFmtId="0" fontId="4" fillId="2" borderId="1" xfId="2" applyFill="1" applyBorder="1" applyAlignment="1" applyProtection="1">
      <alignment horizontal="center"/>
    </xf>
    <xf numFmtId="0" fontId="3" fillId="2" borderId="7" xfId="1" applyFont="1" applyFill="1" applyBorder="1" applyAlignment="1">
      <alignment horizontal="center" vertical="center" wrapText="1"/>
    </xf>
    <xf numFmtId="0" fontId="13" fillId="2" borderId="3" xfId="1" applyFont="1" applyFill="1" applyBorder="1" applyAlignment="1">
      <alignment horizontal="center" vertical="center" wrapText="1"/>
    </xf>
    <xf numFmtId="0" fontId="3" fillId="3" borderId="17" xfId="1" applyFont="1" applyFill="1" applyBorder="1" applyAlignment="1">
      <alignment horizontal="center" vertical="center" wrapText="1"/>
    </xf>
    <xf numFmtId="0" fontId="3" fillId="3" borderId="14" xfId="1" applyFont="1" applyFill="1" applyBorder="1" applyAlignment="1">
      <alignment horizontal="center" vertical="center" wrapText="1"/>
    </xf>
    <xf numFmtId="0" fontId="13" fillId="3" borderId="17" xfId="1" applyFont="1" applyFill="1" applyBorder="1" applyAlignment="1">
      <alignment horizontal="center"/>
    </xf>
    <xf numFmtId="0" fontId="13" fillId="3" borderId="9" xfId="1" applyFont="1" applyFill="1" applyBorder="1" applyAlignment="1">
      <alignment horizontal="center" wrapText="1"/>
    </xf>
    <xf numFmtId="0" fontId="13" fillId="3" borderId="10" xfId="1" applyFont="1" applyFill="1" applyBorder="1" applyAlignment="1">
      <alignment horizontal="center"/>
    </xf>
    <xf numFmtId="3" fontId="13" fillId="3" borderId="10" xfId="1" applyNumberFormat="1" applyFont="1" applyFill="1" applyBorder="1" applyAlignment="1">
      <alignment horizontal="center" wrapText="1"/>
    </xf>
    <xf numFmtId="0" fontId="4" fillId="3" borderId="10" xfId="2" applyFill="1" applyBorder="1" applyAlignment="1" applyProtection="1">
      <alignment horizontal="center" vertical="center"/>
    </xf>
    <xf numFmtId="0" fontId="3" fillId="3" borderId="7" xfId="1" applyFont="1" applyFill="1" applyBorder="1" applyAlignment="1">
      <alignment horizontal="center" vertical="center" wrapText="1"/>
    </xf>
    <xf numFmtId="0" fontId="3" fillId="3" borderId="15" xfId="1" applyFont="1" applyFill="1" applyBorder="1" applyAlignment="1">
      <alignment horizontal="center" vertical="center" wrapText="1"/>
    </xf>
    <xf numFmtId="0" fontId="13" fillId="3" borderId="7" xfId="1" applyFont="1" applyFill="1" applyBorder="1" applyAlignment="1">
      <alignment horizontal="center"/>
    </xf>
    <xf numFmtId="0" fontId="13" fillId="3" borderId="2" xfId="1" applyFont="1" applyFill="1" applyBorder="1" applyAlignment="1">
      <alignment horizontal="center" wrapText="1"/>
    </xf>
    <xf numFmtId="0" fontId="13" fillId="3" borderId="1" xfId="1" applyFont="1" applyFill="1" applyBorder="1" applyAlignment="1">
      <alignment horizontal="center"/>
    </xf>
    <xf numFmtId="3" fontId="13" fillId="3" borderId="1" xfId="1" applyNumberFormat="1" applyFont="1" applyFill="1" applyBorder="1" applyAlignment="1">
      <alignment horizontal="center" wrapText="1"/>
    </xf>
    <xf numFmtId="0" fontId="4" fillId="3" borderId="1" xfId="2" applyFill="1" applyBorder="1" applyAlignment="1" applyProtection="1">
      <alignment horizontal="center" vertical="center"/>
    </xf>
    <xf numFmtId="0" fontId="4" fillId="3" borderId="1" xfId="2" applyFill="1" applyBorder="1" applyAlignment="1" applyProtection="1">
      <alignment horizontal="center"/>
    </xf>
    <xf numFmtId="0" fontId="13" fillId="3" borderId="3" xfId="1" applyFont="1" applyFill="1" applyBorder="1" applyAlignment="1">
      <alignment horizontal="center" vertical="center"/>
    </xf>
    <xf numFmtId="0" fontId="3" fillId="4" borderId="7" xfId="1" applyFont="1" applyFill="1" applyBorder="1" applyAlignment="1">
      <alignment horizontal="center" vertical="center" wrapText="1"/>
    </xf>
    <xf numFmtId="0" fontId="3" fillId="4" borderId="15" xfId="1" applyFont="1" applyFill="1" applyBorder="1" applyAlignment="1">
      <alignment horizontal="center" vertical="center" wrapText="1"/>
    </xf>
    <xf numFmtId="0" fontId="13" fillId="4" borderId="7" xfId="1" applyFont="1" applyFill="1" applyBorder="1" applyAlignment="1">
      <alignment horizontal="center"/>
    </xf>
    <xf numFmtId="0" fontId="13" fillId="4" borderId="2" xfId="1" applyFont="1" applyFill="1" applyBorder="1" applyAlignment="1">
      <alignment horizontal="center" wrapText="1"/>
    </xf>
    <xf numFmtId="0" fontId="13" fillId="4" borderId="1" xfId="1" applyFont="1" applyFill="1" applyBorder="1" applyAlignment="1">
      <alignment horizontal="center"/>
    </xf>
    <xf numFmtId="3" fontId="13" fillId="4" borderId="1" xfId="1" applyNumberFormat="1" applyFont="1" applyFill="1" applyBorder="1" applyAlignment="1">
      <alignment horizontal="center" wrapText="1"/>
    </xf>
    <xf numFmtId="0" fontId="4" fillId="4" borderId="1" xfId="2" applyFill="1" applyBorder="1" applyAlignment="1" applyProtection="1">
      <alignment horizontal="center" vertical="center"/>
    </xf>
    <xf numFmtId="0" fontId="3" fillId="5" borderId="7" xfId="1" applyFont="1" applyFill="1" applyBorder="1" applyAlignment="1">
      <alignment horizontal="center" vertical="center" wrapText="1"/>
    </xf>
    <xf numFmtId="0" fontId="3" fillId="5" borderId="15" xfId="1" applyFont="1" applyFill="1" applyBorder="1" applyAlignment="1">
      <alignment horizontal="center" vertical="center" wrapText="1"/>
    </xf>
    <xf numFmtId="0" fontId="13" fillId="5" borderId="7" xfId="1" applyFont="1" applyFill="1" applyBorder="1" applyAlignment="1">
      <alignment horizontal="center"/>
    </xf>
    <xf numFmtId="0" fontId="13" fillId="5" borderId="2" xfId="1" applyFont="1" applyFill="1" applyBorder="1" applyAlignment="1">
      <alignment horizontal="center" wrapText="1"/>
    </xf>
    <xf numFmtId="0" fontId="13" fillId="5" borderId="1" xfId="1" applyFont="1" applyFill="1" applyBorder="1" applyAlignment="1">
      <alignment horizontal="center"/>
    </xf>
    <xf numFmtId="3" fontId="13" fillId="5" borderId="1" xfId="1" applyNumberFormat="1" applyFont="1" applyFill="1" applyBorder="1" applyAlignment="1">
      <alignment horizontal="center" wrapText="1"/>
    </xf>
    <xf numFmtId="0" fontId="4" fillId="5" borderId="1" xfId="2" applyFill="1" applyBorder="1" applyAlignment="1" applyProtection="1">
      <alignment horizontal="center" vertical="center"/>
    </xf>
    <xf numFmtId="0" fontId="3" fillId="6" borderId="7" xfId="1" applyFont="1" applyFill="1" applyBorder="1" applyAlignment="1">
      <alignment horizontal="center" vertical="center" wrapText="1"/>
    </xf>
    <xf numFmtId="0" fontId="3" fillId="6" borderId="15" xfId="1" applyFont="1" applyFill="1" applyBorder="1" applyAlignment="1">
      <alignment horizontal="center" vertical="center" wrapText="1"/>
    </xf>
    <xf numFmtId="0" fontId="13" fillId="6" borderId="7" xfId="1" applyFont="1" applyFill="1" applyBorder="1" applyAlignment="1">
      <alignment horizontal="center"/>
    </xf>
    <xf numFmtId="0" fontId="13" fillId="6" borderId="2" xfId="1" applyFont="1" applyFill="1" applyBorder="1" applyAlignment="1">
      <alignment horizontal="center" wrapText="1"/>
    </xf>
    <xf numFmtId="0" fontId="13" fillId="6" borderId="1" xfId="1" applyFont="1" applyFill="1" applyBorder="1" applyAlignment="1">
      <alignment horizontal="center"/>
    </xf>
    <xf numFmtId="3" fontId="13" fillId="6" borderId="1" xfId="1" applyNumberFormat="1" applyFont="1" applyFill="1" applyBorder="1" applyAlignment="1">
      <alignment horizontal="center" wrapText="1"/>
    </xf>
    <xf numFmtId="0" fontId="4" fillId="6" borderId="1" xfId="2" applyFill="1" applyBorder="1" applyAlignment="1" applyProtection="1">
      <alignment horizontal="center" vertical="center"/>
    </xf>
    <xf numFmtId="0" fontId="3" fillId="7" borderId="7" xfId="1" applyFont="1" applyFill="1" applyBorder="1" applyAlignment="1">
      <alignment horizontal="center" vertical="center" wrapText="1"/>
    </xf>
    <xf numFmtId="0" fontId="3" fillId="7" borderId="15" xfId="1" applyFont="1" applyFill="1" applyBorder="1" applyAlignment="1">
      <alignment horizontal="center" vertical="center" wrapText="1"/>
    </xf>
    <xf numFmtId="0" fontId="13" fillId="7" borderId="7" xfId="1" applyFont="1" applyFill="1" applyBorder="1" applyAlignment="1">
      <alignment horizontal="center"/>
    </xf>
    <xf numFmtId="0" fontId="13" fillId="7" borderId="2" xfId="1" applyFont="1" applyFill="1" applyBorder="1" applyAlignment="1">
      <alignment horizontal="center" wrapText="1"/>
    </xf>
    <xf numFmtId="0" fontId="13" fillId="7" borderId="1" xfId="1" applyFont="1" applyFill="1" applyBorder="1" applyAlignment="1">
      <alignment horizontal="center"/>
    </xf>
    <xf numFmtId="3" fontId="13" fillId="7" borderId="1" xfId="1" applyNumberFormat="1" applyFont="1" applyFill="1" applyBorder="1" applyAlignment="1">
      <alignment horizontal="center" wrapText="1"/>
    </xf>
    <xf numFmtId="0" fontId="4" fillId="7" borderId="1" xfId="2" applyFill="1" applyBorder="1" applyAlignment="1" applyProtection="1">
      <alignment horizontal="center" vertical="center"/>
    </xf>
    <xf numFmtId="0" fontId="3" fillId="8" borderId="7" xfId="1" applyFont="1" applyFill="1" applyBorder="1" applyAlignment="1">
      <alignment horizontal="center" vertical="center" wrapText="1"/>
    </xf>
    <xf numFmtId="0" fontId="3" fillId="8" borderId="15" xfId="1" applyFont="1" applyFill="1" applyBorder="1" applyAlignment="1">
      <alignment horizontal="center" vertical="center" wrapText="1"/>
    </xf>
    <xf numFmtId="0" fontId="13" fillId="8" borderId="7" xfId="1" applyFont="1" applyFill="1" applyBorder="1" applyAlignment="1">
      <alignment horizontal="center"/>
    </xf>
    <xf numFmtId="0" fontId="13" fillId="8" borderId="2" xfId="1" applyFont="1" applyFill="1" applyBorder="1" applyAlignment="1">
      <alignment horizontal="center" wrapText="1"/>
    </xf>
    <xf numFmtId="0" fontId="13" fillId="8" borderId="1" xfId="1" applyFont="1" applyFill="1" applyBorder="1" applyAlignment="1">
      <alignment horizontal="center"/>
    </xf>
    <xf numFmtId="3" fontId="13" fillId="8" borderId="1" xfId="1" applyNumberFormat="1" applyFont="1" applyFill="1" applyBorder="1" applyAlignment="1">
      <alignment horizontal="center" wrapText="1"/>
    </xf>
    <xf numFmtId="0" fontId="13" fillId="8" borderId="1" xfId="1" applyFont="1" applyFill="1" applyBorder="1" applyAlignment="1">
      <alignment horizontal="center" vertical="center" wrapText="1"/>
    </xf>
    <xf numFmtId="0" fontId="13" fillId="8" borderId="1" xfId="1" applyFont="1" applyFill="1" applyBorder="1" applyAlignment="1">
      <alignment horizontal="center" vertical="center"/>
    </xf>
    <xf numFmtId="0" fontId="4" fillId="8" borderId="1" xfId="2" applyFill="1" applyBorder="1" applyAlignment="1" applyProtection="1">
      <alignment horizontal="center" vertical="center"/>
    </xf>
    <xf numFmtId="0" fontId="13" fillId="8" borderId="3" xfId="1" applyFont="1" applyFill="1" applyBorder="1" applyAlignment="1">
      <alignment horizontal="center" vertical="center" wrapText="1"/>
    </xf>
    <xf numFmtId="0" fontId="3" fillId="9" borderId="15" xfId="1" applyFont="1" applyFill="1" applyBorder="1" applyAlignment="1">
      <alignment horizontal="center" vertical="center" wrapText="1"/>
    </xf>
    <xf numFmtId="0" fontId="13" fillId="9" borderId="7" xfId="1" applyFont="1" applyFill="1" applyBorder="1" applyAlignment="1">
      <alignment horizontal="center"/>
    </xf>
    <xf numFmtId="0" fontId="13" fillId="9" borderId="2" xfId="1" applyFont="1" applyFill="1" applyBorder="1" applyAlignment="1">
      <alignment horizontal="center" wrapText="1"/>
    </xf>
    <xf numFmtId="0" fontId="13" fillId="9" borderId="1" xfId="1" applyFont="1" applyFill="1" applyBorder="1" applyAlignment="1">
      <alignment horizontal="center"/>
    </xf>
    <xf numFmtId="0" fontId="13" fillId="10" borderId="1" xfId="1" applyFont="1" applyFill="1" applyBorder="1" applyAlignment="1">
      <alignment horizontal="center"/>
    </xf>
    <xf numFmtId="3" fontId="13" fillId="9" borderId="1" xfId="1" applyNumberFormat="1" applyFont="1" applyFill="1" applyBorder="1" applyAlignment="1">
      <alignment horizontal="center" wrapText="1"/>
    </xf>
    <xf numFmtId="0" fontId="13" fillId="9" borderId="1" xfId="1" applyFont="1" applyFill="1" applyBorder="1" applyAlignment="1">
      <alignment horizontal="center" vertical="center" wrapText="1"/>
    </xf>
    <xf numFmtId="0" fontId="13" fillId="9" borderId="1" xfId="1" applyFont="1" applyFill="1" applyBorder="1" applyAlignment="1">
      <alignment horizontal="center" vertical="center"/>
    </xf>
    <xf numFmtId="0" fontId="13" fillId="7" borderId="3" xfId="1" applyFont="1" applyFill="1" applyBorder="1" applyAlignment="1">
      <alignment horizontal="center" vertical="center" wrapText="1"/>
    </xf>
    <xf numFmtId="0" fontId="3" fillId="11" borderId="7" xfId="1" applyFont="1" applyFill="1" applyBorder="1" applyAlignment="1">
      <alignment horizontal="center" vertical="center" wrapText="1"/>
    </xf>
    <xf numFmtId="0" fontId="3" fillId="11" borderId="15" xfId="1" applyFont="1" applyFill="1" applyBorder="1" applyAlignment="1">
      <alignment horizontal="center" vertical="center" wrapText="1"/>
    </xf>
    <xf numFmtId="0" fontId="13" fillId="11" borderId="7" xfId="1" applyFont="1" applyFill="1" applyBorder="1" applyAlignment="1">
      <alignment horizontal="center"/>
    </xf>
    <xf numFmtId="0" fontId="13" fillId="11" borderId="2" xfId="1" applyFont="1" applyFill="1" applyBorder="1" applyAlignment="1">
      <alignment horizontal="center" wrapText="1"/>
    </xf>
    <xf numFmtId="0" fontId="13" fillId="11" borderId="1" xfId="1" applyFont="1" applyFill="1" applyBorder="1" applyAlignment="1">
      <alignment horizontal="center"/>
    </xf>
    <xf numFmtId="3" fontId="13" fillId="11" borderId="1" xfId="1" applyNumberFormat="1" applyFont="1" applyFill="1" applyBorder="1" applyAlignment="1">
      <alignment horizontal="center" wrapText="1"/>
    </xf>
    <xf numFmtId="0" fontId="13" fillId="11" borderId="1" xfId="1" applyFont="1" applyFill="1" applyBorder="1" applyAlignment="1">
      <alignment horizontal="center" vertical="center" wrapText="1"/>
    </xf>
    <xf numFmtId="0" fontId="13" fillId="11" borderId="1" xfId="1" applyFont="1" applyFill="1" applyBorder="1" applyAlignment="1">
      <alignment horizontal="center" vertical="center"/>
    </xf>
    <xf numFmtId="0" fontId="4" fillId="11" borderId="1" xfId="2" applyFill="1" applyBorder="1" applyAlignment="1" applyProtection="1">
      <alignment horizontal="center" vertical="center"/>
    </xf>
    <xf numFmtId="0" fontId="13" fillId="11" borderId="3" xfId="1" applyFont="1" applyFill="1" applyBorder="1" applyAlignment="1">
      <alignment horizontal="center" vertical="center" wrapText="1"/>
    </xf>
    <xf numFmtId="0" fontId="3" fillId="12" borderId="7" xfId="1" applyFont="1" applyFill="1" applyBorder="1" applyAlignment="1">
      <alignment horizontal="center" vertical="center" wrapText="1"/>
    </xf>
    <xf numFmtId="0" fontId="3" fillId="12" borderId="15" xfId="1" applyFont="1" applyFill="1" applyBorder="1" applyAlignment="1">
      <alignment horizontal="center" vertical="center" wrapText="1"/>
    </xf>
    <xf numFmtId="0" fontId="13" fillId="12" borderId="7" xfId="1" applyFont="1" applyFill="1" applyBorder="1" applyAlignment="1">
      <alignment horizontal="center"/>
    </xf>
    <xf numFmtId="0" fontId="13" fillId="12" borderId="2" xfId="1" applyFont="1" applyFill="1" applyBorder="1" applyAlignment="1">
      <alignment horizontal="center" wrapText="1"/>
    </xf>
    <xf numFmtId="0" fontId="13" fillId="12" borderId="1" xfId="1" applyFont="1" applyFill="1" applyBorder="1" applyAlignment="1">
      <alignment horizontal="center"/>
    </xf>
    <xf numFmtId="3" fontId="13" fillId="12" borderId="1" xfId="1" applyNumberFormat="1" applyFont="1" applyFill="1" applyBorder="1" applyAlignment="1">
      <alignment horizontal="center" wrapText="1"/>
    </xf>
    <xf numFmtId="0" fontId="13" fillId="12" borderId="1" xfId="1" applyFont="1" applyFill="1" applyBorder="1" applyAlignment="1">
      <alignment horizontal="center" vertical="center" wrapText="1"/>
    </xf>
    <xf numFmtId="0" fontId="13" fillId="12" borderId="1" xfId="1" applyFont="1" applyFill="1" applyBorder="1" applyAlignment="1">
      <alignment horizontal="center" vertical="center"/>
    </xf>
    <xf numFmtId="0" fontId="4" fillId="12" borderId="1" xfId="2" applyFill="1" applyBorder="1" applyAlignment="1" applyProtection="1">
      <alignment horizontal="center" vertical="center"/>
    </xf>
    <xf numFmtId="0" fontId="13" fillId="12" borderId="3" xfId="1" applyFont="1" applyFill="1" applyBorder="1" applyAlignment="1">
      <alignment horizontal="center" vertical="center" wrapText="1"/>
    </xf>
    <xf numFmtId="0" fontId="3" fillId="13" borderId="7" xfId="1" applyFont="1" applyFill="1" applyBorder="1" applyAlignment="1">
      <alignment horizontal="center" vertical="center" wrapText="1"/>
    </xf>
    <xf numFmtId="0" fontId="3" fillId="13" borderId="15" xfId="1" applyFont="1" applyFill="1" applyBorder="1" applyAlignment="1">
      <alignment horizontal="center" vertical="center" wrapText="1"/>
    </xf>
    <xf numFmtId="0" fontId="13" fillId="13" borderId="7" xfId="1" applyFont="1" applyFill="1" applyBorder="1" applyAlignment="1">
      <alignment horizontal="center"/>
    </xf>
    <xf numFmtId="0" fontId="13" fillId="13" borderId="2" xfId="1" applyFont="1" applyFill="1" applyBorder="1" applyAlignment="1">
      <alignment horizontal="center" wrapText="1"/>
    </xf>
    <xf numFmtId="0" fontId="13" fillId="13" borderId="1" xfId="1" applyFont="1" applyFill="1" applyBorder="1" applyAlignment="1">
      <alignment horizontal="center"/>
    </xf>
    <xf numFmtId="3" fontId="13" fillId="13" borderId="1" xfId="1" applyNumberFormat="1" applyFont="1" applyFill="1" applyBorder="1" applyAlignment="1">
      <alignment horizontal="center" wrapText="1"/>
    </xf>
    <xf numFmtId="0" fontId="13" fillId="13" borderId="1" xfId="1" applyFont="1" applyFill="1" applyBorder="1" applyAlignment="1">
      <alignment horizontal="center" vertical="center" wrapText="1"/>
    </xf>
    <xf numFmtId="0" fontId="13" fillId="13" borderId="1" xfId="1" applyFont="1" applyFill="1" applyBorder="1" applyAlignment="1">
      <alignment horizontal="center" vertical="center"/>
    </xf>
    <xf numFmtId="0" fontId="4" fillId="13" borderId="1" xfId="2" applyFill="1" applyBorder="1" applyAlignment="1" applyProtection="1">
      <alignment horizontal="center" vertical="center"/>
    </xf>
    <xf numFmtId="0" fontId="13" fillId="13" borderId="3" xfId="1" applyFont="1" applyFill="1" applyBorder="1" applyAlignment="1">
      <alignment horizontal="center" vertical="center" wrapText="1"/>
    </xf>
    <xf numFmtId="0" fontId="3" fillId="14" borderId="7" xfId="1" applyFont="1" applyFill="1" applyBorder="1" applyAlignment="1">
      <alignment horizontal="center" vertical="center" wrapText="1"/>
    </xf>
    <xf numFmtId="0" fontId="3" fillId="14" borderId="15" xfId="1" applyFont="1" applyFill="1" applyBorder="1" applyAlignment="1">
      <alignment horizontal="center" vertical="center" wrapText="1"/>
    </xf>
    <xf numFmtId="0" fontId="13" fillId="14" borderId="7" xfId="1" applyFont="1" applyFill="1" applyBorder="1" applyAlignment="1">
      <alignment horizontal="center"/>
    </xf>
    <xf numFmtId="0" fontId="13" fillId="14" borderId="2" xfId="1" applyFont="1" applyFill="1" applyBorder="1" applyAlignment="1">
      <alignment horizontal="center" wrapText="1"/>
    </xf>
    <xf numFmtId="0" fontId="13" fillId="14" borderId="1" xfId="1" applyFont="1" applyFill="1" applyBorder="1" applyAlignment="1">
      <alignment horizontal="center"/>
    </xf>
    <xf numFmtId="3" fontId="13" fillId="14" borderId="1" xfId="1" applyNumberFormat="1" applyFont="1" applyFill="1" applyBorder="1" applyAlignment="1">
      <alignment horizontal="center" wrapText="1"/>
    </xf>
    <xf numFmtId="0" fontId="13" fillId="14" borderId="1" xfId="1" applyFont="1" applyFill="1" applyBorder="1" applyAlignment="1">
      <alignment horizontal="center" vertical="center" wrapText="1"/>
    </xf>
    <xf numFmtId="0" fontId="13" fillId="14" borderId="1" xfId="1" applyFont="1" applyFill="1" applyBorder="1" applyAlignment="1">
      <alignment horizontal="center" vertical="center"/>
    </xf>
    <xf numFmtId="0" fontId="4" fillId="14" borderId="1" xfId="2" applyFill="1" applyBorder="1" applyAlignment="1" applyProtection="1">
      <alignment horizontal="center" vertical="center"/>
    </xf>
    <xf numFmtId="0" fontId="13" fillId="14" borderId="3" xfId="1" applyFont="1" applyFill="1" applyBorder="1" applyAlignment="1">
      <alignment horizontal="center" vertical="center" wrapText="1"/>
    </xf>
    <xf numFmtId="0" fontId="3" fillId="9" borderId="7" xfId="1" applyFont="1" applyFill="1" applyBorder="1" applyAlignment="1">
      <alignment horizontal="center" vertical="center" wrapText="1"/>
    </xf>
    <xf numFmtId="0" fontId="4" fillId="9" borderId="1" xfId="2" applyFill="1" applyBorder="1" applyAlignment="1" applyProtection="1">
      <alignment horizontal="center" vertical="center"/>
    </xf>
    <xf numFmtId="0" fontId="13" fillId="9" borderId="3" xfId="1" applyFont="1" applyFill="1" applyBorder="1" applyAlignment="1">
      <alignment horizontal="center" vertical="center" wrapText="1"/>
    </xf>
    <xf numFmtId="0" fontId="3" fillId="15" borderId="7" xfId="1" applyFont="1" applyFill="1" applyBorder="1" applyAlignment="1">
      <alignment horizontal="center" vertical="center" wrapText="1"/>
    </xf>
    <xf numFmtId="0" fontId="3" fillId="15" borderId="15" xfId="1" applyFont="1" applyFill="1" applyBorder="1" applyAlignment="1">
      <alignment horizontal="center" vertical="center" wrapText="1"/>
    </xf>
    <xf numFmtId="0" fontId="13" fillId="15" borderId="7" xfId="1" applyFont="1" applyFill="1" applyBorder="1" applyAlignment="1">
      <alignment horizontal="center"/>
    </xf>
    <xf numFmtId="0" fontId="13" fillId="15" borderId="2" xfId="1" applyFont="1" applyFill="1" applyBorder="1" applyAlignment="1">
      <alignment horizontal="center" wrapText="1"/>
    </xf>
    <xf numFmtId="0" fontId="13" fillId="15" borderId="1" xfId="1" applyFont="1" applyFill="1" applyBorder="1" applyAlignment="1">
      <alignment horizontal="center"/>
    </xf>
    <xf numFmtId="3" fontId="13" fillId="15" borderId="1" xfId="1" applyNumberFormat="1" applyFont="1" applyFill="1" applyBorder="1" applyAlignment="1">
      <alignment horizontal="center" wrapText="1"/>
    </xf>
    <xf numFmtId="0" fontId="13" fillId="15" borderId="1" xfId="1" applyFont="1" applyFill="1" applyBorder="1" applyAlignment="1">
      <alignment horizontal="center" vertical="center" wrapText="1"/>
    </xf>
    <xf numFmtId="0" fontId="13" fillId="15" borderId="1" xfId="1" applyFont="1" applyFill="1" applyBorder="1" applyAlignment="1">
      <alignment horizontal="center" vertical="center"/>
    </xf>
    <xf numFmtId="0" fontId="4" fillId="15" borderId="1" xfId="2" applyFill="1" applyBorder="1" applyAlignment="1" applyProtection="1">
      <alignment horizontal="center" vertical="center"/>
    </xf>
    <xf numFmtId="0" fontId="13" fillId="15" borderId="3" xfId="1" applyFont="1" applyFill="1" applyBorder="1" applyAlignment="1">
      <alignment horizontal="center" vertical="center" wrapText="1"/>
    </xf>
    <xf numFmtId="0" fontId="13" fillId="16" borderId="10" xfId="1" applyFont="1" applyFill="1" applyBorder="1" applyAlignment="1">
      <alignment horizontal="center"/>
    </xf>
    <xf numFmtId="0" fontId="13" fillId="16" borderId="1" xfId="1" applyFont="1" applyFill="1" applyBorder="1" applyAlignment="1">
      <alignment horizontal="center"/>
    </xf>
    <xf numFmtId="0" fontId="13" fillId="4" borderId="3" xfId="1" applyFont="1" applyFill="1" applyBorder="1" applyAlignment="1">
      <alignment horizontal="center" vertical="center" wrapText="1"/>
    </xf>
    <xf numFmtId="0" fontId="13" fillId="5" borderId="3" xfId="1" applyFont="1" applyFill="1" applyBorder="1" applyAlignment="1">
      <alignment horizontal="center" vertical="center"/>
    </xf>
    <xf numFmtId="0" fontId="13" fillId="8" borderId="3" xfId="1" applyFont="1" applyFill="1" applyBorder="1" applyAlignment="1">
      <alignment horizontal="center" vertical="center"/>
    </xf>
    <xf numFmtId="0" fontId="11" fillId="0" borderId="0" xfId="0" applyFont="1" applyBorder="1" applyAlignment="1">
      <alignment horizontal="center" vertical="center"/>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2</xdr:row>
          <xdr:rowOff>114300</xdr:rowOff>
        </xdr:from>
        <xdr:to>
          <xdr:col>5</xdr:col>
          <xdr:colOff>542925</xdr:colOff>
          <xdr:row>4</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Fetch Information From Digikey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2</xdr:row>
          <xdr:rowOff>95250</xdr:rowOff>
        </xdr:from>
        <xdr:to>
          <xdr:col>9</xdr:col>
          <xdr:colOff>352425</xdr:colOff>
          <xdr:row>4</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Perform Stock Operations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1095375</xdr:colOff>
          <xdr:row>2</xdr:row>
          <xdr:rowOff>95250</xdr:rowOff>
        </xdr:from>
        <xdr:to>
          <xdr:col>12</xdr:col>
          <xdr:colOff>2124075</xdr:colOff>
          <xdr:row>4</xdr:row>
          <xdr:rowOff>95250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Open Stock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1038225</xdr:colOff>
          <xdr:row>2</xdr:row>
          <xdr:rowOff>95250</xdr:rowOff>
        </xdr:from>
        <xdr:to>
          <xdr:col>11</xdr:col>
          <xdr:colOff>895350</xdr:colOff>
          <xdr:row>4</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Take From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685800</xdr:colOff>
          <xdr:row>2</xdr:row>
          <xdr:rowOff>104775</xdr:rowOff>
        </xdr:from>
        <xdr:to>
          <xdr:col>7</xdr:col>
          <xdr:colOff>571500</xdr:colOff>
          <xdr:row>4</xdr:row>
          <xdr:rowOff>104775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Sort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2371725</xdr:colOff>
          <xdr:row>2</xdr:row>
          <xdr:rowOff>95250</xdr:rowOff>
        </xdr:from>
        <xdr:to>
          <xdr:col>12</xdr:col>
          <xdr:colOff>3971925</xdr:colOff>
          <xdr:row>4</xdr:row>
          <xdr:rowOff>95250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Random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2</xdr:row>
          <xdr:rowOff>85725</xdr:rowOff>
        </xdr:from>
        <xdr:to>
          <xdr:col>10</xdr:col>
          <xdr:colOff>838200</xdr:colOff>
          <xdr:row>4</xdr:row>
          <xdr:rowOff>85725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Check with Kicad</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P88"/>
  <sheetViews>
    <sheetView tabSelected="1" topLeftCell="A52" zoomScaleNormal="100" workbookViewId="0">
      <selection activeCell="C71" sqref="C71"/>
    </sheetView>
  </sheetViews>
  <sheetFormatPr baseColWidth="10" defaultRowHeight="15" x14ac:dyDescent="0.25"/>
  <cols>
    <col min="1" max="1" width="1.85546875" customWidth="1"/>
    <col min="2" max="2" width="5.140625" customWidth="1"/>
    <col min="3" max="3" width="34" customWidth="1"/>
    <col min="4" max="4" width="5.85546875" customWidth="1"/>
    <col min="5" max="5" width="10.7109375" customWidth="1"/>
    <col min="6" max="6" width="10.85546875" bestFit="1" customWidth="1"/>
    <col min="7" max="7" width="11.85546875" bestFit="1" customWidth="1"/>
    <col min="8" max="8" width="13.85546875" customWidth="1"/>
    <col min="9" max="9" width="36.7109375" bestFit="1" customWidth="1"/>
    <col min="10" max="10" width="19.7109375" customWidth="1"/>
    <col min="11" max="11" width="32.5703125" bestFit="1" customWidth="1"/>
    <col min="12" max="12" width="17.42578125" customWidth="1"/>
    <col min="13" max="13" width="123.42578125" bestFit="1" customWidth="1"/>
    <col min="14" max="14" width="22.85546875" bestFit="1" customWidth="1"/>
    <col min="15" max="15" width="54.7109375" customWidth="1"/>
    <col min="16" max="16" width="10.140625" customWidth="1"/>
  </cols>
  <sheetData>
    <row r="2" spans="1:16" ht="28.5" x14ac:dyDescent="0.35">
      <c r="B2" s="189" t="s">
        <v>20</v>
      </c>
      <c r="C2" s="189"/>
      <c r="D2" s="189"/>
      <c r="E2" s="189"/>
      <c r="F2" s="189"/>
      <c r="G2" s="189"/>
      <c r="H2" s="189"/>
      <c r="I2" s="189"/>
      <c r="J2" s="189"/>
      <c r="K2" s="189"/>
      <c r="L2" s="189"/>
      <c r="M2" s="189"/>
      <c r="N2" s="1"/>
      <c r="O2" s="1"/>
      <c r="P2" s="1"/>
    </row>
    <row r="3" spans="1:16" x14ac:dyDescent="0.25">
      <c r="B3" s="2"/>
      <c r="C3" s="2"/>
      <c r="D3" s="2"/>
      <c r="E3" s="2"/>
      <c r="F3" s="2"/>
      <c r="G3" s="2"/>
      <c r="H3" s="2"/>
      <c r="I3" s="2"/>
      <c r="J3" s="2"/>
      <c r="K3" s="2"/>
      <c r="L3" s="2"/>
      <c r="M3" s="2"/>
    </row>
    <row r="4" spans="1:16" x14ac:dyDescent="0.25">
      <c r="B4" s="2"/>
      <c r="C4" s="2"/>
      <c r="D4" s="2"/>
      <c r="E4" s="2"/>
      <c r="F4" s="2"/>
      <c r="G4" s="2"/>
      <c r="H4" s="2"/>
      <c r="I4" s="2"/>
      <c r="J4" s="2"/>
      <c r="K4" s="2"/>
      <c r="L4" s="2"/>
      <c r="M4" s="2"/>
    </row>
    <row r="5" spans="1:16" x14ac:dyDescent="0.25">
      <c r="B5" s="2"/>
      <c r="C5" s="2"/>
      <c r="D5" s="2"/>
      <c r="E5" s="2"/>
      <c r="F5" s="2"/>
      <c r="G5" s="2"/>
      <c r="H5" s="2"/>
      <c r="I5" s="2"/>
      <c r="J5" s="2"/>
      <c r="K5" s="2"/>
      <c r="L5" s="2"/>
      <c r="M5" s="2"/>
    </row>
    <row r="6" spans="1:16" ht="15.75" thickBot="1" x14ac:dyDescent="0.3">
      <c r="B6" s="2"/>
      <c r="C6" s="2"/>
      <c r="D6" s="2"/>
      <c r="E6" s="2"/>
      <c r="F6" s="2"/>
      <c r="G6" s="2"/>
      <c r="H6" s="2"/>
      <c r="I6" s="2"/>
      <c r="J6" s="2"/>
      <c r="K6" s="2"/>
      <c r="L6" s="2"/>
      <c r="M6" s="2"/>
    </row>
    <row r="7" spans="1:16" ht="15.75" thickBot="1" x14ac:dyDescent="0.3">
      <c r="B7" s="2"/>
      <c r="C7" s="21" t="s">
        <v>8</v>
      </c>
      <c r="D7" s="21">
        <v>1</v>
      </c>
      <c r="E7" s="2"/>
      <c r="F7" s="2"/>
      <c r="G7" s="2"/>
      <c r="H7" s="2"/>
      <c r="I7" s="2"/>
      <c r="J7" s="2"/>
      <c r="K7" s="2"/>
      <c r="L7" s="2"/>
      <c r="M7" s="2"/>
    </row>
    <row r="8" spans="1:16" ht="19.5" customHeight="1" thickBot="1" x14ac:dyDescent="0.3">
      <c r="B8" s="23" t="s">
        <v>0</v>
      </c>
      <c r="C8" s="22" t="s">
        <v>7</v>
      </c>
      <c r="D8" s="22" t="s">
        <v>1</v>
      </c>
      <c r="E8" s="24" t="s">
        <v>9</v>
      </c>
      <c r="F8" s="25" t="s">
        <v>18</v>
      </c>
      <c r="G8" s="25" t="s">
        <v>17</v>
      </c>
      <c r="H8" s="25" t="s">
        <v>19</v>
      </c>
      <c r="I8" s="25" t="s">
        <v>2</v>
      </c>
      <c r="J8" s="25" t="s">
        <v>3</v>
      </c>
      <c r="K8" s="25" t="s">
        <v>4</v>
      </c>
      <c r="L8" s="25" t="s">
        <v>6</v>
      </c>
      <c r="M8" s="25" t="s">
        <v>5</v>
      </c>
      <c r="N8" s="25" t="s">
        <v>21</v>
      </c>
      <c r="O8" s="26" t="s">
        <v>22</v>
      </c>
      <c r="P8" s="27" t="s">
        <v>30</v>
      </c>
    </row>
    <row r="9" spans="1:16" x14ac:dyDescent="0.25">
      <c r="A9" s="4"/>
      <c r="B9" s="68">
        <v>1</v>
      </c>
      <c r="C9" s="69" t="s">
        <v>40</v>
      </c>
      <c r="D9" s="70">
        <v>1</v>
      </c>
      <c r="E9" s="71">
        <v>4.8899999999999997</v>
      </c>
      <c r="F9" s="72">
        <v>4.8899999999999997</v>
      </c>
      <c r="G9" s="184">
        <v>7</v>
      </c>
      <c r="H9" s="73">
        <v>61</v>
      </c>
      <c r="I9" s="28" t="s">
        <v>41</v>
      </c>
      <c r="J9" s="28" t="s">
        <v>42</v>
      </c>
      <c r="K9" s="29" t="s">
        <v>43</v>
      </c>
      <c r="L9" s="28" t="s">
        <v>44</v>
      </c>
      <c r="M9" s="74" t="s">
        <v>45</v>
      </c>
      <c r="N9" s="28" t="s">
        <v>23</v>
      </c>
      <c r="O9" s="29" t="s">
        <v>24</v>
      </c>
      <c r="P9" s="30"/>
    </row>
    <row r="10" spans="1:16" x14ac:dyDescent="0.25">
      <c r="A10" s="4"/>
      <c r="B10" s="75">
        <v>2</v>
      </c>
      <c r="C10" s="76" t="s">
        <v>46</v>
      </c>
      <c r="D10" s="77">
        <v>1</v>
      </c>
      <c r="E10" s="78">
        <v>7.97</v>
      </c>
      <c r="F10" s="79">
        <v>7.97</v>
      </c>
      <c r="G10" s="185">
        <v>5</v>
      </c>
      <c r="H10" s="80">
        <v>139</v>
      </c>
      <c r="I10" s="31" t="s">
        <v>41</v>
      </c>
      <c r="J10" s="32" t="s">
        <v>47</v>
      </c>
      <c r="K10" s="31" t="s">
        <v>43</v>
      </c>
      <c r="L10" s="31" t="s">
        <v>44</v>
      </c>
      <c r="M10" s="81" t="s">
        <v>48</v>
      </c>
      <c r="N10" s="32" t="s">
        <v>23</v>
      </c>
      <c r="O10" s="31" t="s">
        <v>24</v>
      </c>
      <c r="P10" s="33"/>
    </row>
    <row r="11" spans="1:16" x14ac:dyDescent="0.25">
      <c r="A11" s="4"/>
      <c r="B11" s="75">
        <v>3</v>
      </c>
      <c r="C11" s="76" t="s">
        <v>49</v>
      </c>
      <c r="D11" s="77">
        <v>1</v>
      </c>
      <c r="E11" s="78">
        <v>0.46</v>
      </c>
      <c r="F11" s="79">
        <v>0.46</v>
      </c>
      <c r="G11" s="185">
        <v>15</v>
      </c>
      <c r="H11" s="80">
        <v>18972</v>
      </c>
      <c r="I11" s="31" t="s">
        <v>50</v>
      </c>
      <c r="J11" s="31" t="s">
        <v>51</v>
      </c>
      <c r="K11" s="34" t="s">
        <v>52</v>
      </c>
      <c r="L11" s="31" t="s">
        <v>53</v>
      </c>
      <c r="M11" s="82" t="s">
        <v>54</v>
      </c>
      <c r="N11" s="31" t="s">
        <v>23</v>
      </c>
      <c r="O11" s="34" t="s">
        <v>106</v>
      </c>
      <c r="P11" s="33"/>
    </row>
    <row r="12" spans="1:16" x14ac:dyDescent="0.25">
      <c r="A12" s="4"/>
      <c r="B12" s="75">
        <v>4</v>
      </c>
      <c r="C12" s="76" t="s">
        <v>330</v>
      </c>
      <c r="D12" s="77">
        <v>2</v>
      </c>
      <c r="E12" s="78">
        <v>3.16</v>
      </c>
      <c r="F12" s="79">
        <v>6.32</v>
      </c>
      <c r="G12" s="185">
        <v>3</v>
      </c>
      <c r="H12" s="80">
        <v>3796</v>
      </c>
      <c r="I12" s="31" t="s">
        <v>55</v>
      </c>
      <c r="J12" s="31" t="s">
        <v>56</v>
      </c>
      <c r="K12" s="34" t="s">
        <v>57</v>
      </c>
      <c r="L12" s="31" t="s">
        <v>58</v>
      </c>
      <c r="M12" s="82" t="s">
        <v>59</v>
      </c>
      <c r="N12" s="31" t="s">
        <v>23</v>
      </c>
      <c r="O12" s="34" t="s">
        <v>29</v>
      </c>
      <c r="P12" s="33"/>
    </row>
    <row r="13" spans="1:16" x14ac:dyDescent="0.25">
      <c r="A13" s="4"/>
      <c r="B13" s="75">
        <v>5</v>
      </c>
      <c r="C13" s="76" t="s">
        <v>331</v>
      </c>
      <c r="D13" s="77">
        <v>1</v>
      </c>
      <c r="E13" s="78">
        <v>0.7</v>
      </c>
      <c r="F13" s="79">
        <v>0.7</v>
      </c>
      <c r="G13" s="126">
        <v>0</v>
      </c>
      <c r="H13" s="80">
        <v>13820</v>
      </c>
      <c r="I13" s="31" t="s">
        <v>60</v>
      </c>
      <c r="J13" s="31" t="s">
        <v>61</v>
      </c>
      <c r="K13" s="34" t="s">
        <v>62</v>
      </c>
      <c r="L13" s="31" t="s">
        <v>63</v>
      </c>
      <c r="M13" s="82" t="s">
        <v>64</v>
      </c>
      <c r="N13" s="31" t="s">
        <v>23</v>
      </c>
      <c r="O13" s="34" t="s">
        <v>25</v>
      </c>
      <c r="P13" s="33"/>
    </row>
    <row r="14" spans="1:16" x14ac:dyDescent="0.25">
      <c r="A14" s="4"/>
      <c r="B14" s="75">
        <v>6</v>
      </c>
      <c r="C14" s="76" t="s">
        <v>65</v>
      </c>
      <c r="D14" s="77">
        <v>1</v>
      </c>
      <c r="E14" s="78">
        <v>13.51</v>
      </c>
      <c r="F14" s="79">
        <v>13.51</v>
      </c>
      <c r="G14" s="185">
        <v>6</v>
      </c>
      <c r="H14" s="80">
        <v>1069</v>
      </c>
      <c r="I14" s="31" t="s">
        <v>66</v>
      </c>
      <c r="J14" s="31" t="s">
        <v>67</v>
      </c>
      <c r="K14" s="34" t="s">
        <v>68</v>
      </c>
      <c r="L14" s="31" t="s">
        <v>69</v>
      </c>
      <c r="M14" s="82" t="s">
        <v>70</v>
      </c>
      <c r="N14" s="31" t="s">
        <v>23</v>
      </c>
      <c r="O14" s="34" t="s">
        <v>26</v>
      </c>
      <c r="P14" s="33"/>
    </row>
    <row r="15" spans="1:16" ht="22.5" x14ac:dyDescent="0.25">
      <c r="A15" s="4"/>
      <c r="B15" s="75">
        <v>7</v>
      </c>
      <c r="C15" s="76" t="s">
        <v>71</v>
      </c>
      <c r="D15" s="77">
        <v>1</v>
      </c>
      <c r="E15" s="78">
        <v>0.64</v>
      </c>
      <c r="F15" s="79">
        <v>0.64</v>
      </c>
      <c r="G15" s="185">
        <v>4</v>
      </c>
      <c r="H15" s="80">
        <v>8265</v>
      </c>
      <c r="I15" s="31" t="s">
        <v>72</v>
      </c>
      <c r="J15" s="31" t="s">
        <v>73</v>
      </c>
      <c r="K15" s="34" t="s">
        <v>57</v>
      </c>
      <c r="L15" s="31" t="s">
        <v>74</v>
      </c>
      <c r="M15" s="82" t="s">
        <v>75</v>
      </c>
      <c r="N15" s="31" t="s">
        <v>23</v>
      </c>
      <c r="O15" s="34" t="s">
        <v>107</v>
      </c>
      <c r="P15" s="33"/>
    </row>
    <row r="16" spans="1:16" x14ac:dyDescent="0.25">
      <c r="A16" s="4"/>
      <c r="B16" s="75">
        <v>8</v>
      </c>
      <c r="C16" s="76" t="s">
        <v>76</v>
      </c>
      <c r="D16" s="77">
        <v>1</v>
      </c>
      <c r="E16" s="78">
        <v>4.2300000000000004</v>
      </c>
      <c r="F16" s="79">
        <v>4.2300000000000004</v>
      </c>
      <c r="G16" s="185">
        <v>6</v>
      </c>
      <c r="H16" s="80">
        <v>13740</v>
      </c>
      <c r="I16" s="31" t="s">
        <v>77</v>
      </c>
      <c r="J16" s="31" t="s">
        <v>78</v>
      </c>
      <c r="K16" s="34" t="s">
        <v>57</v>
      </c>
      <c r="L16" s="31" t="s">
        <v>79</v>
      </c>
      <c r="M16" s="81" t="s">
        <v>80</v>
      </c>
      <c r="N16" s="31" t="s">
        <v>23</v>
      </c>
      <c r="O16" s="34" t="s">
        <v>108</v>
      </c>
      <c r="P16" s="83"/>
    </row>
    <row r="17" spans="1:16" ht="22.5" x14ac:dyDescent="0.25">
      <c r="A17" s="4"/>
      <c r="B17" s="75">
        <v>9</v>
      </c>
      <c r="C17" s="76" t="s">
        <v>332</v>
      </c>
      <c r="D17" s="77">
        <v>2</v>
      </c>
      <c r="E17" s="78">
        <v>11</v>
      </c>
      <c r="F17" s="79">
        <v>22</v>
      </c>
      <c r="G17" s="185">
        <v>7</v>
      </c>
      <c r="H17" s="80">
        <v>140</v>
      </c>
      <c r="I17" s="31" t="s">
        <v>371</v>
      </c>
      <c r="J17" s="31" t="s">
        <v>370</v>
      </c>
      <c r="K17" s="34" t="s">
        <v>118</v>
      </c>
      <c r="L17" s="31" t="s">
        <v>373</v>
      </c>
      <c r="M17" s="81" t="s">
        <v>312</v>
      </c>
      <c r="N17" s="31" t="s">
        <v>23</v>
      </c>
      <c r="O17" s="34" t="s">
        <v>372</v>
      </c>
      <c r="P17" s="83" t="s">
        <v>183</v>
      </c>
    </row>
    <row r="18" spans="1:16" x14ac:dyDescent="0.25">
      <c r="A18" s="4"/>
      <c r="B18" s="75">
        <v>10</v>
      </c>
      <c r="C18" s="76" t="s">
        <v>105</v>
      </c>
      <c r="D18" s="77">
        <v>1</v>
      </c>
      <c r="E18" s="78">
        <v>0.4</v>
      </c>
      <c r="F18" s="79">
        <v>0.4</v>
      </c>
      <c r="G18" s="126">
        <v>0</v>
      </c>
      <c r="H18" s="80">
        <v>9134</v>
      </c>
      <c r="I18" s="31" t="s">
        <v>378</v>
      </c>
      <c r="J18" s="31" t="s">
        <v>377</v>
      </c>
      <c r="K18" s="34" t="s">
        <v>57</v>
      </c>
      <c r="L18" s="31" t="s">
        <v>63</v>
      </c>
      <c r="M18" s="81" t="s">
        <v>314</v>
      </c>
      <c r="N18" s="31" t="s">
        <v>23</v>
      </c>
      <c r="O18" s="34" t="s">
        <v>372</v>
      </c>
      <c r="P18" s="83" t="s">
        <v>379</v>
      </c>
    </row>
    <row r="19" spans="1:16" x14ac:dyDescent="0.25">
      <c r="A19" s="4"/>
      <c r="B19" s="75">
        <v>11</v>
      </c>
      <c r="C19" s="76" t="s">
        <v>333</v>
      </c>
      <c r="D19" s="77">
        <v>3</v>
      </c>
      <c r="E19" s="78">
        <v>0.64</v>
      </c>
      <c r="F19" s="79">
        <v>1.92</v>
      </c>
      <c r="G19" s="126">
        <v>0</v>
      </c>
      <c r="H19" s="80">
        <v>65997</v>
      </c>
      <c r="I19" s="31" t="s">
        <v>375</v>
      </c>
      <c r="J19" s="31" t="s">
        <v>374</v>
      </c>
      <c r="K19" s="34" t="s">
        <v>57</v>
      </c>
      <c r="L19" s="31" t="s">
        <v>63</v>
      </c>
      <c r="M19" s="81" t="s">
        <v>313</v>
      </c>
      <c r="N19" s="31" t="s">
        <v>23</v>
      </c>
      <c r="O19" s="34" t="s">
        <v>376</v>
      </c>
      <c r="P19" s="83"/>
    </row>
    <row r="20" spans="1:16" x14ac:dyDescent="0.25">
      <c r="A20" s="4"/>
      <c r="B20" s="75">
        <v>12</v>
      </c>
      <c r="C20" s="76" t="s">
        <v>334</v>
      </c>
      <c r="D20" s="77">
        <v>1</v>
      </c>
      <c r="E20" s="78">
        <v>5.68</v>
      </c>
      <c r="F20" s="79">
        <v>5.68</v>
      </c>
      <c r="G20" s="126">
        <v>0</v>
      </c>
      <c r="H20" s="80">
        <v>361</v>
      </c>
      <c r="I20" s="31" t="s">
        <v>381</v>
      </c>
      <c r="J20" s="31" t="s">
        <v>380</v>
      </c>
      <c r="K20" s="34" t="s">
        <v>104</v>
      </c>
      <c r="L20" s="31" t="s">
        <v>382</v>
      </c>
      <c r="M20" s="81" t="s">
        <v>315</v>
      </c>
      <c r="N20" s="31" t="s">
        <v>23</v>
      </c>
      <c r="O20" s="34" t="s">
        <v>117</v>
      </c>
      <c r="P20" s="83"/>
    </row>
    <row r="21" spans="1:16" x14ac:dyDescent="0.25">
      <c r="A21" s="4"/>
      <c r="B21" s="75">
        <v>13</v>
      </c>
      <c r="C21" s="76" t="s">
        <v>335</v>
      </c>
      <c r="D21" s="77">
        <v>2</v>
      </c>
      <c r="E21" s="78">
        <v>3.35</v>
      </c>
      <c r="F21" s="79">
        <v>6.7</v>
      </c>
      <c r="G21" s="126">
        <v>0</v>
      </c>
      <c r="H21" s="80">
        <v>2479</v>
      </c>
      <c r="I21" s="31" t="s">
        <v>384</v>
      </c>
      <c r="J21" s="31" t="s">
        <v>383</v>
      </c>
      <c r="K21" s="34" t="s">
        <v>43</v>
      </c>
      <c r="L21" s="31" t="s">
        <v>386</v>
      </c>
      <c r="M21" s="81" t="s">
        <v>316</v>
      </c>
      <c r="N21" s="31" t="s">
        <v>23</v>
      </c>
      <c r="O21" s="34" t="s">
        <v>385</v>
      </c>
      <c r="P21" s="33"/>
    </row>
    <row r="22" spans="1:16" x14ac:dyDescent="0.25">
      <c r="A22" s="4"/>
      <c r="B22" s="84">
        <v>14</v>
      </c>
      <c r="C22" s="85" t="s">
        <v>81</v>
      </c>
      <c r="D22" s="86">
        <v>1</v>
      </c>
      <c r="E22" s="87">
        <v>0.95</v>
      </c>
      <c r="F22" s="88">
        <v>0.95</v>
      </c>
      <c r="G22" s="185">
        <v>6</v>
      </c>
      <c r="H22" s="89">
        <v>3835</v>
      </c>
      <c r="I22" s="35" t="s">
        <v>369</v>
      </c>
      <c r="J22" s="35" t="s">
        <v>82</v>
      </c>
      <c r="K22" s="36" t="s">
        <v>83</v>
      </c>
      <c r="L22" s="35" t="s">
        <v>63</v>
      </c>
      <c r="M22" s="90" t="s">
        <v>84</v>
      </c>
      <c r="N22" s="35" t="s">
        <v>109</v>
      </c>
      <c r="O22" s="36" t="s">
        <v>110</v>
      </c>
      <c r="P22" s="37"/>
    </row>
    <row r="23" spans="1:16" x14ac:dyDescent="0.25">
      <c r="A23" s="4"/>
      <c r="B23" s="84">
        <v>15</v>
      </c>
      <c r="C23" s="85" t="s">
        <v>140</v>
      </c>
      <c r="D23" s="86">
        <v>1</v>
      </c>
      <c r="E23" s="87">
        <v>0.43</v>
      </c>
      <c r="F23" s="88">
        <v>0.43</v>
      </c>
      <c r="G23" s="185">
        <v>14</v>
      </c>
      <c r="H23" s="89">
        <v>12784</v>
      </c>
      <c r="I23" s="35" t="s">
        <v>141</v>
      </c>
      <c r="J23" s="35" t="s">
        <v>142</v>
      </c>
      <c r="K23" s="36" t="s">
        <v>143</v>
      </c>
      <c r="L23" s="35" t="s">
        <v>89</v>
      </c>
      <c r="M23" s="90" t="s">
        <v>144</v>
      </c>
      <c r="N23" s="35" t="s">
        <v>109</v>
      </c>
      <c r="O23" s="36" t="s">
        <v>110</v>
      </c>
      <c r="P23" s="186"/>
    </row>
    <row r="24" spans="1:16" x14ac:dyDescent="0.25">
      <c r="A24" s="4"/>
      <c r="B24" s="84">
        <v>16</v>
      </c>
      <c r="C24" s="85" t="s">
        <v>145</v>
      </c>
      <c r="D24" s="86">
        <v>1</v>
      </c>
      <c r="E24" s="87">
        <v>0.73</v>
      </c>
      <c r="F24" s="88">
        <v>0.73</v>
      </c>
      <c r="G24" s="185">
        <v>13</v>
      </c>
      <c r="H24" s="89">
        <v>20129</v>
      </c>
      <c r="I24" s="35" t="s">
        <v>146</v>
      </c>
      <c r="J24" s="35" t="s">
        <v>147</v>
      </c>
      <c r="K24" s="36" t="s">
        <v>83</v>
      </c>
      <c r="L24" s="35" t="s">
        <v>95</v>
      </c>
      <c r="M24" s="90" t="s">
        <v>148</v>
      </c>
      <c r="N24" s="35" t="s">
        <v>109</v>
      </c>
      <c r="O24" s="36" t="s">
        <v>110</v>
      </c>
      <c r="P24" s="37"/>
    </row>
    <row r="25" spans="1:16" x14ac:dyDescent="0.25">
      <c r="A25" s="4"/>
      <c r="B25" s="84">
        <v>17</v>
      </c>
      <c r="C25" s="85" t="s">
        <v>345</v>
      </c>
      <c r="D25" s="86">
        <v>6</v>
      </c>
      <c r="E25" s="87">
        <v>0.56999999999999995</v>
      </c>
      <c r="F25" s="88">
        <v>3.42</v>
      </c>
      <c r="G25" s="185">
        <v>28</v>
      </c>
      <c r="H25" s="89">
        <v>17610</v>
      </c>
      <c r="I25" s="35" t="s">
        <v>160</v>
      </c>
      <c r="J25" s="35" t="s">
        <v>161</v>
      </c>
      <c r="K25" s="36" t="s">
        <v>162</v>
      </c>
      <c r="L25" s="35" t="s">
        <v>163</v>
      </c>
      <c r="M25" s="90" t="s">
        <v>164</v>
      </c>
      <c r="N25" s="35" t="s">
        <v>109</v>
      </c>
      <c r="O25" s="36" t="s">
        <v>110</v>
      </c>
      <c r="P25" s="37"/>
    </row>
    <row r="26" spans="1:16" x14ac:dyDescent="0.25">
      <c r="A26" s="4"/>
      <c r="B26" s="91">
        <v>18</v>
      </c>
      <c r="C26" s="92" t="s">
        <v>85</v>
      </c>
      <c r="D26" s="93">
        <v>1</v>
      </c>
      <c r="E26" s="94">
        <v>0.2</v>
      </c>
      <c r="F26" s="95">
        <v>0.2</v>
      </c>
      <c r="G26" s="126">
        <v>0</v>
      </c>
      <c r="H26" s="96">
        <v>24949</v>
      </c>
      <c r="I26" s="38" t="s">
        <v>86</v>
      </c>
      <c r="J26" s="38" t="s">
        <v>87</v>
      </c>
      <c r="K26" s="39" t="s">
        <v>88</v>
      </c>
      <c r="L26" s="38"/>
      <c r="M26" s="97" t="s">
        <v>90</v>
      </c>
      <c r="N26" s="38" t="s">
        <v>111</v>
      </c>
      <c r="O26" s="39" t="s">
        <v>112</v>
      </c>
      <c r="P26" s="187"/>
    </row>
    <row r="27" spans="1:16" x14ac:dyDescent="0.25">
      <c r="A27" s="4"/>
      <c r="B27" s="98">
        <v>19</v>
      </c>
      <c r="C27" s="99" t="s">
        <v>91</v>
      </c>
      <c r="D27" s="100">
        <v>7</v>
      </c>
      <c r="E27" s="101">
        <v>1.135</v>
      </c>
      <c r="F27" s="102">
        <v>7.9450000000000003</v>
      </c>
      <c r="G27" s="126">
        <v>0</v>
      </c>
      <c r="H27" s="103">
        <v>2792</v>
      </c>
      <c r="I27" s="40" t="s">
        <v>92</v>
      </c>
      <c r="J27" s="40" t="s">
        <v>93</v>
      </c>
      <c r="K27" s="41" t="s">
        <v>94</v>
      </c>
      <c r="L27" s="40"/>
      <c r="M27" s="104" t="s">
        <v>96</v>
      </c>
      <c r="N27" s="40" t="s">
        <v>113</v>
      </c>
      <c r="O27" s="41" t="s">
        <v>114</v>
      </c>
      <c r="P27" s="42"/>
    </row>
    <row r="28" spans="1:16" ht="22.5" x14ac:dyDescent="0.25">
      <c r="A28" s="4"/>
      <c r="B28" s="98">
        <v>20</v>
      </c>
      <c r="C28" s="99" t="s">
        <v>149</v>
      </c>
      <c r="D28" s="100">
        <v>7</v>
      </c>
      <c r="E28" s="101">
        <v>0.6</v>
      </c>
      <c r="F28" s="102">
        <v>4.2</v>
      </c>
      <c r="G28" s="185">
        <v>20</v>
      </c>
      <c r="H28" s="103">
        <v>4702</v>
      </c>
      <c r="I28" s="40" t="s">
        <v>150</v>
      </c>
      <c r="J28" s="40" t="s">
        <v>151</v>
      </c>
      <c r="K28" s="41" t="s">
        <v>152</v>
      </c>
      <c r="L28" s="40" t="s">
        <v>153</v>
      </c>
      <c r="M28" s="104" t="s">
        <v>154</v>
      </c>
      <c r="N28" s="40" t="s">
        <v>113</v>
      </c>
      <c r="O28" s="41" t="s">
        <v>282</v>
      </c>
      <c r="P28" s="42"/>
    </row>
    <row r="29" spans="1:16" x14ac:dyDescent="0.25">
      <c r="A29" s="4"/>
      <c r="B29" s="105">
        <v>21</v>
      </c>
      <c r="C29" s="106" t="s">
        <v>97</v>
      </c>
      <c r="D29" s="107">
        <v>1</v>
      </c>
      <c r="E29" s="108">
        <v>3.63</v>
      </c>
      <c r="F29" s="109">
        <v>3.63</v>
      </c>
      <c r="G29" s="126">
        <v>0</v>
      </c>
      <c r="H29" s="110">
        <v>180</v>
      </c>
      <c r="I29" s="43" t="s">
        <v>98</v>
      </c>
      <c r="J29" s="43" t="s">
        <v>99</v>
      </c>
      <c r="K29" s="44" t="s">
        <v>88</v>
      </c>
      <c r="L29" s="43"/>
      <c r="M29" s="111" t="s">
        <v>100</v>
      </c>
      <c r="N29" s="43" t="s">
        <v>115</v>
      </c>
      <c r="O29" s="44" t="s">
        <v>116</v>
      </c>
      <c r="P29" s="130"/>
    </row>
    <row r="30" spans="1:16" x14ac:dyDescent="0.25">
      <c r="A30" s="4"/>
      <c r="B30" s="105">
        <v>22</v>
      </c>
      <c r="C30" s="106" t="s">
        <v>336</v>
      </c>
      <c r="D30" s="107">
        <v>3</v>
      </c>
      <c r="E30" s="108">
        <v>9.64</v>
      </c>
      <c r="F30" s="109">
        <v>28.92</v>
      </c>
      <c r="G30" s="126">
        <v>0</v>
      </c>
      <c r="H30" s="110">
        <v>1767</v>
      </c>
      <c r="I30" s="43" t="s">
        <v>388</v>
      </c>
      <c r="J30" s="43">
        <v>132203</v>
      </c>
      <c r="K30" s="44" t="s">
        <v>387</v>
      </c>
      <c r="L30" s="43"/>
      <c r="M30" s="111" t="s">
        <v>317</v>
      </c>
      <c r="N30" s="43" t="s">
        <v>115</v>
      </c>
      <c r="O30" s="44" t="s">
        <v>389</v>
      </c>
      <c r="P30" s="130"/>
    </row>
    <row r="31" spans="1:16" x14ac:dyDescent="0.25">
      <c r="A31" s="4"/>
      <c r="B31" s="105">
        <v>23</v>
      </c>
      <c r="C31" s="106" t="s">
        <v>170</v>
      </c>
      <c r="D31" s="107">
        <v>1</v>
      </c>
      <c r="E31" s="108">
        <v>0.72</v>
      </c>
      <c r="F31" s="109">
        <v>0.72</v>
      </c>
      <c r="G31" s="126">
        <v>0</v>
      </c>
      <c r="H31" s="110">
        <v>13792</v>
      </c>
      <c r="I31" s="43" t="s">
        <v>171</v>
      </c>
      <c r="J31" s="43" t="s">
        <v>172</v>
      </c>
      <c r="K31" s="44" t="s">
        <v>173</v>
      </c>
      <c r="L31" s="43"/>
      <c r="M31" s="111" t="s">
        <v>174</v>
      </c>
      <c r="N31" s="43" t="s">
        <v>115</v>
      </c>
      <c r="O31" s="44" t="s">
        <v>285</v>
      </c>
      <c r="P31" s="130"/>
    </row>
    <row r="32" spans="1:16" x14ac:dyDescent="0.25">
      <c r="A32" s="4"/>
      <c r="B32" s="105">
        <v>24</v>
      </c>
      <c r="C32" s="106" t="s">
        <v>175</v>
      </c>
      <c r="D32" s="107">
        <v>1</v>
      </c>
      <c r="E32" s="108">
        <v>1.52</v>
      </c>
      <c r="F32" s="109">
        <v>1.52</v>
      </c>
      <c r="G32" s="185">
        <v>6</v>
      </c>
      <c r="H32" s="110">
        <v>14298</v>
      </c>
      <c r="I32" s="43" t="s">
        <v>176</v>
      </c>
      <c r="J32" s="43" t="s">
        <v>177</v>
      </c>
      <c r="K32" s="44" t="s">
        <v>178</v>
      </c>
      <c r="L32" s="43"/>
      <c r="M32" s="111" t="s">
        <v>179</v>
      </c>
      <c r="N32" s="43" t="s">
        <v>115</v>
      </c>
      <c r="O32" s="44" t="s">
        <v>286</v>
      </c>
      <c r="P32" s="130"/>
    </row>
    <row r="33" spans="1:16" x14ac:dyDescent="0.25">
      <c r="A33" s="4"/>
      <c r="B33" s="112">
        <v>25</v>
      </c>
      <c r="C33" s="113" t="s">
        <v>119</v>
      </c>
      <c r="D33" s="114">
        <v>1</v>
      </c>
      <c r="E33" s="115">
        <v>0.79</v>
      </c>
      <c r="F33" s="116">
        <v>0.79</v>
      </c>
      <c r="G33" s="185">
        <v>47</v>
      </c>
      <c r="H33" s="117">
        <v>18074</v>
      </c>
      <c r="I33" s="118" t="s">
        <v>120</v>
      </c>
      <c r="J33" s="118" t="s">
        <v>121</v>
      </c>
      <c r="K33" s="119" t="s">
        <v>122</v>
      </c>
      <c r="L33" s="118" t="s">
        <v>123</v>
      </c>
      <c r="M33" s="120" t="s">
        <v>124</v>
      </c>
      <c r="N33" s="118" t="s">
        <v>131</v>
      </c>
      <c r="O33" s="119" t="s">
        <v>132</v>
      </c>
      <c r="P33" s="188" t="s">
        <v>133</v>
      </c>
    </row>
    <row r="34" spans="1:16" x14ac:dyDescent="0.25">
      <c r="A34" s="4"/>
      <c r="B34" s="112">
        <v>26</v>
      </c>
      <c r="C34" s="113" t="s">
        <v>125</v>
      </c>
      <c r="D34" s="114">
        <v>1</v>
      </c>
      <c r="E34" s="115">
        <v>0.71</v>
      </c>
      <c r="F34" s="116">
        <v>0.71</v>
      </c>
      <c r="G34" s="185">
        <v>48</v>
      </c>
      <c r="H34" s="117">
        <v>282813</v>
      </c>
      <c r="I34" s="118" t="s">
        <v>126</v>
      </c>
      <c r="J34" s="118" t="s">
        <v>127</v>
      </c>
      <c r="K34" s="119" t="s">
        <v>128</v>
      </c>
      <c r="L34" s="118" t="s">
        <v>129</v>
      </c>
      <c r="M34" s="120" t="s">
        <v>130</v>
      </c>
      <c r="N34" s="118" t="s">
        <v>131</v>
      </c>
      <c r="O34" s="119" t="s">
        <v>132</v>
      </c>
      <c r="P34" s="121" t="s">
        <v>134</v>
      </c>
    </row>
    <row r="35" spans="1:16" x14ac:dyDescent="0.25">
      <c r="A35" s="4"/>
      <c r="B35" s="131">
        <v>27</v>
      </c>
      <c r="C35" s="132" t="s">
        <v>337</v>
      </c>
      <c r="D35" s="133">
        <v>5</v>
      </c>
      <c r="E35" s="134">
        <v>8.6999999999999994E-2</v>
      </c>
      <c r="F35" s="135">
        <v>0.43499999999999994</v>
      </c>
      <c r="G35" s="126">
        <v>0</v>
      </c>
      <c r="H35" s="136">
        <v>128824</v>
      </c>
      <c r="I35" s="137" t="s">
        <v>165</v>
      </c>
      <c r="J35" s="137" t="s">
        <v>166</v>
      </c>
      <c r="K35" s="138" t="s">
        <v>167</v>
      </c>
      <c r="L35" s="137" t="s">
        <v>159</v>
      </c>
      <c r="M35" s="139" t="s">
        <v>168</v>
      </c>
      <c r="N35" s="137" t="s">
        <v>33</v>
      </c>
      <c r="O35" s="138" t="s">
        <v>34</v>
      </c>
      <c r="P35" s="140"/>
    </row>
    <row r="36" spans="1:16" x14ac:dyDescent="0.25">
      <c r="A36" s="4"/>
      <c r="B36" s="141">
        <v>28</v>
      </c>
      <c r="C36" s="142" t="s">
        <v>185</v>
      </c>
      <c r="D36" s="143">
        <v>1</v>
      </c>
      <c r="E36" s="144">
        <v>0.28999999999999998</v>
      </c>
      <c r="F36" s="145">
        <v>0.28999999999999998</v>
      </c>
      <c r="G36" s="126">
        <v>0</v>
      </c>
      <c r="H36" s="146">
        <v>90017</v>
      </c>
      <c r="I36" s="147" t="s">
        <v>180</v>
      </c>
      <c r="J36" s="147" t="s">
        <v>181</v>
      </c>
      <c r="K36" s="148" t="s">
        <v>182</v>
      </c>
      <c r="L36" s="147" t="s">
        <v>183</v>
      </c>
      <c r="M36" s="149" t="s">
        <v>184</v>
      </c>
      <c r="N36" s="147" t="s">
        <v>35</v>
      </c>
      <c r="O36" s="148" t="s">
        <v>36</v>
      </c>
      <c r="P36" s="150" t="s">
        <v>37</v>
      </c>
    </row>
    <row r="37" spans="1:16" ht="22.5" x14ac:dyDescent="0.25">
      <c r="A37" s="4"/>
      <c r="B37" s="151">
        <v>29</v>
      </c>
      <c r="C37" s="152" t="s">
        <v>188</v>
      </c>
      <c r="D37" s="153">
        <v>1</v>
      </c>
      <c r="E37" s="154">
        <v>0.53</v>
      </c>
      <c r="F37" s="155">
        <v>0.53</v>
      </c>
      <c r="G37" s="185">
        <v>20</v>
      </c>
      <c r="H37" s="156">
        <v>74077</v>
      </c>
      <c r="I37" s="157" t="s">
        <v>189</v>
      </c>
      <c r="J37" s="157" t="s">
        <v>190</v>
      </c>
      <c r="K37" s="158" t="s">
        <v>191</v>
      </c>
      <c r="L37" s="157" t="s">
        <v>192</v>
      </c>
      <c r="M37" s="159" t="s">
        <v>193</v>
      </c>
      <c r="N37" s="157" t="s">
        <v>283</v>
      </c>
      <c r="O37" s="158" t="s">
        <v>287</v>
      </c>
      <c r="P37" s="160"/>
    </row>
    <row r="38" spans="1:16" ht="22.5" x14ac:dyDescent="0.25">
      <c r="A38" s="4"/>
      <c r="B38" s="151">
        <v>30</v>
      </c>
      <c r="C38" s="152" t="s">
        <v>194</v>
      </c>
      <c r="D38" s="153">
        <v>2</v>
      </c>
      <c r="E38" s="154">
        <v>0.78</v>
      </c>
      <c r="F38" s="155">
        <v>1.56</v>
      </c>
      <c r="G38" s="185">
        <v>21</v>
      </c>
      <c r="H38" s="156">
        <v>56302</v>
      </c>
      <c r="I38" s="157" t="s">
        <v>195</v>
      </c>
      <c r="J38" s="157" t="s">
        <v>196</v>
      </c>
      <c r="K38" s="158" t="s">
        <v>197</v>
      </c>
      <c r="L38" s="157" t="s">
        <v>198</v>
      </c>
      <c r="M38" s="159" t="s">
        <v>199</v>
      </c>
      <c r="N38" s="157" t="s">
        <v>283</v>
      </c>
      <c r="O38" s="158" t="s">
        <v>287</v>
      </c>
      <c r="P38" s="160"/>
    </row>
    <row r="39" spans="1:16" ht="22.5" x14ac:dyDescent="0.25">
      <c r="A39" s="4"/>
      <c r="B39" s="151">
        <v>31</v>
      </c>
      <c r="C39" s="152" t="s">
        <v>344</v>
      </c>
      <c r="D39" s="153">
        <v>1</v>
      </c>
      <c r="E39" s="154">
        <v>0.48</v>
      </c>
      <c r="F39" s="155">
        <v>0.48</v>
      </c>
      <c r="G39" s="185">
        <v>10</v>
      </c>
      <c r="H39" s="156">
        <v>160694</v>
      </c>
      <c r="I39" s="157" t="s">
        <v>155</v>
      </c>
      <c r="J39" s="157" t="s">
        <v>156</v>
      </c>
      <c r="K39" s="158" t="s">
        <v>118</v>
      </c>
      <c r="L39" s="157" t="s">
        <v>157</v>
      </c>
      <c r="M39" s="159" t="s">
        <v>158</v>
      </c>
      <c r="N39" s="157" t="s">
        <v>283</v>
      </c>
      <c r="O39" s="158" t="s">
        <v>284</v>
      </c>
      <c r="P39" s="160"/>
    </row>
    <row r="40" spans="1:16" x14ac:dyDescent="0.25">
      <c r="A40" s="4"/>
      <c r="B40" s="161">
        <v>32</v>
      </c>
      <c r="C40" s="162" t="s">
        <v>338</v>
      </c>
      <c r="D40" s="163">
        <v>3</v>
      </c>
      <c r="E40" s="164">
        <v>0.77</v>
      </c>
      <c r="F40" s="165">
        <v>2.31</v>
      </c>
      <c r="G40" s="126">
        <v>0</v>
      </c>
      <c r="H40" s="166">
        <v>339471</v>
      </c>
      <c r="I40" s="167" t="s">
        <v>280</v>
      </c>
      <c r="J40" s="167" t="s">
        <v>279</v>
      </c>
      <c r="K40" s="168" t="s">
        <v>265</v>
      </c>
      <c r="L40" s="167" t="s">
        <v>278</v>
      </c>
      <c r="M40" s="169" t="s">
        <v>139</v>
      </c>
      <c r="N40" s="167" t="s">
        <v>31</v>
      </c>
      <c r="O40" s="168" t="s">
        <v>32</v>
      </c>
      <c r="P40" s="170" t="s">
        <v>281</v>
      </c>
    </row>
    <row r="41" spans="1:16" ht="25.5" x14ac:dyDescent="0.25">
      <c r="A41" s="4"/>
      <c r="B41" s="161">
        <v>33</v>
      </c>
      <c r="C41" s="162" t="s">
        <v>339</v>
      </c>
      <c r="D41" s="163">
        <v>10</v>
      </c>
      <c r="E41" s="164">
        <v>0.2</v>
      </c>
      <c r="F41" s="165">
        <v>2</v>
      </c>
      <c r="G41" s="126">
        <v>0</v>
      </c>
      <c r="H41" s="166">
        <v>2225141</v>
      </c>
      <c r="I41" s="167" t="s">
        <v>391</v>
      </c>
      <c r="J41" s="167" t="s">
        <v>390</v>
      </c>
      <c r="K41" s="168" t="s">
        <v>167</v>
      </c>
      <c r="L41" s="167" t="s">
        <v>159</v>
      </c>
      <c r="M41" s="169" t="s">
        <v>318</v>
      </c>
      <c r="N41" s="167" t="s">
        <v>31</v>
      </c>
      <c r="O41" s="168" t="s">
        <v>32</v>
      </c>
      <c r="P41" s="170" t="s">
        <v>277</v>
      </c>
    </row>
    <row r="42" spans="1:16" x14ac:dyDescent="0.25">
      <c r="A42" s="4"/>
      <c r="B42" s="161">
        <v>34</v>
      </c>
      <c r="C42" s="162" t="s">
        <v>340</v>
      </c>
      <c r="D42" s="163">
        <v>2</v>
      </c>
      <c r="E42" s="164">
        <v>0.1</v>
      </c>
      <c r="F42" s="165">
        <v>0.2</v>
      </c>
      <c r="G42" s="126">
        <v>0</v>
      </c>
      <c r="H42" s="166">
        <v>580974</v>
      </c>
      <c r="I42" s="167" t="s">
        <v>275</v>
      </c>
      <c r="J42" s="167" t="s">
        <v>274</v>
      </c>
      <c r="K42" s="168" t="s">
        <v>182</v>
      </c>
      <c r="L42" s="167" t="s">
        <v>159</v>
      </c>
      <c r="M42" s="169" t="s">
        <v>138</v>
      </c>
      <c r="N42" s="167" t="s">
        <v>31</v>
      </c>
      <c r="O42" s="168" t="s">
        <v>32</v>
      </c>
      <c r="P42" s="170" t="s">
        <v>276</v>
      </c>
    </row>
    <row r="43" spans="1:16" ht="63.75" x14ac:dyDescent="0.25">
      <c r="A43" s="4"/>
      <c r="B43" s="161">
        <v>35</v>
      </c>
      <c r="C43" s="162" t="s">
        <v>341</v>
      </c>
      <c r="D43" s="163">
        <v>37</v>
      </c>
      <c r="E43" s="164">
        <v>9.9000000000000008E-3</v>
      </c>
      <c r="F43" s="165">
        <v>0.36630000000000001</v>
      </c>
      <c r="G43" s="126">
        <v>0</v>
      </c>
      <c r="H43" s="166">
        <v>2608653</v>
      </c>
      <c r="I43" s="167" t="s">
        <v>273</v>
      </c>
      <c r="J43" s="167" t="s">
        <v>272</v>
      </c>
      <c r="K43" s="168" t="s">
        <v>269</v>
      </c>
      <c r="L43" s="167" t="s">
        <v>159</v>
      </c>
      <c r="M43" s="169" t="s">
        <v>137</v>
      </c>
      <c r="N43" s="167" t="s">
        <v>31</v>
      </c>
      <c r="O43" s="168" t="s">
        <v>32</v>
      </c>
      <c r="P43" s="170" t="s">
        <v>39</v>
      </c>
    </row>
    <row r="44" spans="1:16" ht="25.5" x14ac:dyDescent="0.25">
      <c r="A44" s="4"/>
      <c r="B44" s="161">
        <v>36</v>
      </c>
      <c r="C44" s="162" t="s">
        <v>342</v>
      </c>
      <c r="D44" s="163">
        <v>15</v>
      </c>
      <c r="E44" s="164">
        <v>1.9E-2</v>
      </c>
      <c r="F44" s="165">
        <v>0.28499999999999998</v>
      </c>
      <c r="G44" s="126">
        <v>0</v>
      </c>
      <c r="H44" s="166">
        <v>1756202</v>
      </c>
      <c r="I44" s="167" t="s">
        <v>271</v>
      </c>
      <c r="J44" s="167" t="s">
        <v>270</v>
      </c>
      <c r="K44" s="168" t="s">
        <v>269</v>
      </c>
      <c r="L44" s="167" t="s">
        <v>159</v>
      </c>
      <c r="M44" s="169" t="s">
        <v>136</v>
      </c>
      <c r="N44" s="167" t="s">
        <v>31</v>
      </c>
      <c r="O44" s="168" t="s">
        <v>32</v>
      </c>
      <c r="P44" s="170" t="s">
        <v>38</v>
      </c>
    </row>
    <row r="45" spans="1:16" x14ac:dyDescent="0.25">
      <c r="A45" s="4"/>
      <c r="B45" s="161">
        <v>37</v>
      </c>
      <c r="C45" s="162" t="s">
        <v>343</v>
      </c>
      <c r="D45" s="163">
        <v>1</v>
      </c>
      <c r="E45" s="164">
        <v>0.1</v>
      </c>
      <c r="F45" s="165">
        <v>0.1</v>
      </c>
      <c r="G45" s="126">
        <v>0</v>
      </c>
      <c r="H45" s="166">
        <v>1188645</v>
      </c>
      <c r="I45" s="167" t="s">
        <v>394</v>
      </c>
      <c r="J45" s="167" t="s">
        <v>393</v>
      </c>
      <c r="K45" s="168" t="s">
        <v>392</v>
      </c>
      <c r="L45" s="167" t="s">
        <v>159</v>
      </c>
      <c r="M45" s="169" t="s">
        <v>319</v>
      </c>
      <c r="N45" s="167" t="s">
        <v>31</v>
      </c>
      <c r="O45" s="168" t="s">
        <v>32</v>
      </c>
      <c r="P45" s="170" t="s">
        <v>395</v>
      </c>
    </row>
    <row r="46" spans="1:16" x14ac:dyDescent="0.25">
      <c r="A46" s="4"/>
      <c r="B46" s="161">
        <v>38</v>
      </c>
      <c r="C46" s="162" t="s">
        <v>420</v>
      </c>
      <c r="D46" s="163">
        <v>5</v>
      </c>
      <c r="E46" s="164">
        <v>0.03</v>
      </c>
      <c r="F46" s="165">
        <v>0.15</v>
      </c>
      <c r="G46" s="126">
        <v>0</v>
      </c>
      <c r="H46" s="166">
        <v>684513</v>
      </c>
      <c r="I46" s="167" t="s">
        <v>267</v>
      </c>
      <c r="J46" s="167" t="s">
        <v>266</v>
      </c>
      <c r="K46" s="168" t="s">
        <v>265</v>
      </c>
      <c r="L46" s="167" t="s">
        <v>159</v>
      </c>
      <c r="M46" s="169" t="s">
        <v>135</v>
      </c>
      <c r="N46" s="167" t="s">
        <v>31</v>
      </c>
      <c r="O46" s="168" t="s">
        <v>32</v>
      </c>
      <c r="P46" s="170" t="s">
        <v>268</v>
      </c>
    </row>
    <row r="47" spans="1:16" x14ac:dyDescent="0.25">
      <c r="A47" s="4"/>
      <c r="B47" s="171">
        <v>39</v>
      </c>
      <c r="C47" s="122" t="s">
        <v>256</v>
      </c>
      <c r="D47" s="123">
        <v>1</v>
      </c>
      <c r="E47" s="124">
        <v>0.1</v>
      </c>
      <c r="F47" s="125">
        <v>0.1</v>
      </c>
      <c r="G47" s="126">
        <v>0</v>
      </c>
      <c r="H47" s="127">
        <v>36897</v>
      </c>
      <c r="I47" s="128" t="s">
        <v>257</v>
      </c>
      <c r="J47" s="128" t="s">
        <v>258</v>
      </c>
      <c r="K47" s="129" t="s">
        <v>207</v>
      </c>
      <c r="L47" s="128">
        <v>603</v>
      </c>
      <c r="M47" s="172" t="s">
        <v>259</v>
      </c>
      <c r="N47" s="128" t="s">
        <v>27</v>
      </c>
      <c r="O47" s="129" t="s">
        <v>28</v>
      </c>
      <c r="P47" s="173" t="s">
        <v>301</v>
      </c>
    </row>
    <row r="48" spans="1:16" x14ac:dyDescent="0.25">
      <c r="A48" s="4"/>
      <c r="B48" s="171">
        <v>40</v>
      </c>
      <c r="C48" s="122" t="s">
        <v>260</v>
      </c>
      <c r="D48" s="123">
        <v>1</v>
      </c>
      <c r="E48" s="124">
        <v>0.1</v>
      </c>
      <c r="F48" s="125">
        <v>0.1</v>
      </c>
      <c r="G48" s="126">
        <v>0</v>
      </c>
      <c r="H48" s="127">
        <v>185434</v>
      </c>
      <c r="I48" s="128" t="s">
        <v>261</v>
      </c>
      <c r="J48" s="128" t="s">
        <v>262</v>
      </c>
      <c r="K48" s="129" t="s">
        <v>169</v>
      </c>
      <c r="L48" s="128">
        <v>603</v>
      </c>
      <c r="M48" s="172" t="s">
        <v>263</v>
      </c>
      <c r="N48" s="128" t="s">
        <v>27</v>
      </c>
      <c r="O48" s="129" t="s">
        <v>28</v>
      </c>
      <c r="P48" s="173" t="s">
        <v>302</v>
      </c>
    </row>
    <row r="49" spans="1:16" x14ac:dyDescent="0.25">
      <c r="A49" s="4"/>
      <c r="B49" s="171">
        <v>41</v>
      </c>
      <c r="C49" s="122" t="s">
        <v>252</v>
      </c>
      <c r="D49" s="123">
        <v>7</v>
      </c>
      <c r="E49" s="124">
        <v>0.1</v>
      </c>
      <c r="F49" s="125">
        <v>0.70000000000000007</v>
      </c>
      <c r="G49" s="126">
        <v>0</v>
      </c>
      <c r="H49" s="127">
        <v>3528204</v>
      </c>
      <c r="I49" s="128" t="s">
        <v>253</v>
      </c>
      <c r="J49" s="128" t="s">
        <v>254</v>
      </c>
      <c r="K49" s="129" t="s">
        <v>169</v>
      </c>
      <c r="L49" s="128">
        <v>603</v>
      </c>
      <c r="M49" s="172" t="s">
        <v>255</v>
      </c>
      <c r="N49" s="128" t="s">
        <v>27</v>
      </c>
      <c r="O49" s="129" t="s">
        <v>28</v>
      </c>
      <c r="P49" s="173" t="s">
        <v>300</v>
      </c>
    </row>
    <row r="50" spans="1:16" x14ac:dyDescent="0.25">
      <c r="A50" s="4"/>
      <c r="B50" s="171">
        <v>42</v>
      </c>
      <c r="C50" s="122" t="s">
        <v>346</v>
      </c>
      <c r="D50" s="123">
        <v>1</v>
      </c>
      <c r="E50" s="124">
        <v>0.1</v>
      </c>
      <c r="F50" s="125">
        <v>0.1</v>
      </c>
      <c r="G50" s="185">
        <v>500</v>
      </c>
      <c r="H50" s="127">
        <v>479368</v>
      </c>
      <c r="I50" s="128" t="s">
        <v>249</v>
      </c>
      <c r="J50" s="128" t="s">
        <v>250</v>
      </c>
      <c r="K50" s="129" t="s">
        <v>207</v>
      </c>
      <c r="L50" s="128">
        <v>603</v>
      </c>
      <c r="M50" s="172" t="s">
        <v>251</v>
      </c>
      <c r="N50" s="128" t="s">
        <v>27</v>
      </c>
      <c r="O50" s="129" t="s">
        <v>28</v>
      </c>
      <c r="P50" s="173" t="s">
        <v>299</v>
      </c>
    </row>
    <row r="51" spans="1:16" x14ac:dyDescent="0.25">
      <c r="A51" s="4"/>
      <c r="B51" s="171">
        <v>43</v>
      </c>
      <c r="C51" s="122" t="s">
        <v>245</v>
      </c>
      <c r="D51" s="123">
        <v>4</v>
      </c>
      <c r="E51" s="124">
        <v>0.1</v>
      </c>
      <c r="F51" s="125">
        <v>0.4</v>
      </c>
      <c r="G51" s="126">
        <v>0</v>
      </c>
      <c r="H51" s="127">
        <v>494483</v>
      </c>
      <c r="I51" s="128" t="s">
        <v>246</v>
      </c>
      <c r="J51" s="128" t="s">
        <v>247</v>
      </c>
      <c r="K51" s="129" t="s">
        <v>169</v>
      </c>
      <c r="L51" s="128">
        <v>603</v>
      </c>
      <c r="M51" s="172" t="s">
        <v>248</v>
      </c>
      <c r="N51" s="128" t="s">
        <v>27</v>
      </c>
      <c r="O51" s="129" t="s">
        <v>28</v>
      </c>
      <c r="P51" s="173" t="s">
        <v>298</v>
      </c>
    </row>
    <row r="52" spans="1:16" x14ac:dyDescent="0.25">
      <c r="A52" s="4"/>
      <c r="B52" s="171">
        <v>44</v>
      </c>
      <c r="C52" s="122" t="s">
        <v>347</v>
      </c>
      <c r="D52" s="123">
        <v>1</v>
      </c>
      <c r="E52" s="124">
        <v>0.1</v>
      </c>
      <c r="F52" s="125">
        <v>0.1</v>
      </c>
      <c r="G52" s="185">
        <v>500</v>
      </c>
      <c r="H52" s="127">
        <v>88581</v>
      </c>
      <c r="I52" s="128" t="s">
        <v>242</v>
      </c>
      <c r="J52" s="128" t="s">
        <v>243</v>
      </c>
      <c r="K52" s="129" t="s">
        <v>207</v>
      </c>
      <c r="L52" s="128">
        <v>603</v>
      </c>
      <c r="M52" s="172" t="s">
        <v>244</v>
      </c>
      <c r="N52" s="128" t="s">
        <v>27</v>
      </c>
      <c r="O52" s="129" t="s">
        <v>28</v>
      </c>
      <c r="P52" s="173" t="s">
        <v>297</v>
      </c>
    </row>
    <row r="53" spans="1:16" x14ac:dyDescent="0.25">
      <c r="A53" s="4"/>
      <c r="B53" s="171">
        <v>45</v>
      </c>
      <c r="C53" s="122" t="s">
        <v>348</v>
      </c>
      <c r="D53" s="123">
        <v>3</v>
      </c>
      <c r="E53" s="124">
        <v>0.1</v>
      </c>
      <c r="F53" s="125">
        <v>0.30000000000000004</v>
      </c>
      <c r="G53" s="126">
        <v>0</v>
      </c>
      <c r="H53" s="127">
        <v>233605</v>
      </c>
      <c r="I53" s="128" t="s">
        <v>239</v>
      </c>
      <c r="J53" s="128" t="s">
        <v>240</v>
      </c>
      <c r="K53" s="129" t="s">
        <v>169</v>
      </c>
      <c r="L53" s="128">
        <v>603</v>
      </c>
      <c r="M53" s="172" t="s">
        <v>241</v>
      </c>
      <c r="N53" s="128" t="s">
        <v>27</v>
      </c>
      <c r="O53" s="129" t="s">
        <v>28</v>
      </c>
      <c r="P53" s="173" t="s">
        <v>296</v>
      </c>
    </row>
    <row r="54" spans="1:16" x14ac:dyDescent="0.25">
      <c r="A54" s="4"/>
      <c r="B54" s="171">
        <v>46</v>
      </c>
      <c r="C54" s="122" t="s">
        <v>349</v>
      </c>
      <c r="D54" s="123">
        <v>1</v>
      </c>
      <c r="E54" s="124">
        <v>0.1</v>
      </c>
      <c r="F54" s="125">
        <v>0.1</v>
      </c>
      <c r="G54" s="126">
        <v>0</v>
      </c>
      <c r="H54" s="127">
        <v>145865</v>
      </c>
      <c r="I54" s="128" t="s">
        <v>397</v>
      </c>
      <c r="J54" s="128" t="s">
        <v>396</v>
      </c>
      <c r="K54" s="129" t="s">
        <v>169</v>
      </c>
      <c r="L54" s="128">
        <v>603</v>
      </c>
      <c r="M54" s="172" t="s">
        <v>320</v>
      </c>
      <c r="N54" s="128" t="s">
        <v>27</v>
      </c>
      <c r="O54" s="129" t="s">
        <v>28</v>
      </c>
      <c r="P54" s="173" t="s">
        <v>398</v>
      </c>
    </row>
    <row r="55" spans="1:16" ht="25.5" x14ac:dyDescent="0.25">
      <c r="A55" s="4"/>
      <c r="B55" s="171">
        <v>47</v>
      </c>
      <c r="C55" s="122" t="s">
        <v>350</v>
      </c>
      <c r="D55" s="123">
        <v>12</v>
      </c>
      <c r="E55" s="124">
        <v>0.1</v>
      </c>
      <c r="F55" s="125">
        <v>1.2000000000000002</v>
      </c>
      <c r="G55" s="185">
        <v>1000</v>
      </c>
      <c r="H55" s="127">
        <v>6971426</v>
      </c>
      <c r="I55" s="128" t="s">
        <v>294</v>
      </c>
      <c r="J55" s="128" t="s">
        <v>293</v>
      </c>
      <c r="K55" s="129" t="s">
        <v>169</v>
      </c>
      <c r="L55" s="128">
        <v>603</v>
      </c>
      <c r="M55" s="172" t="s">
        <v>238</v>
      </c>
      <c r="N55" s="128" t="s">
        <v>27</v>
      </c>
      <c r="O55" s="129" t="s">
        <v>28</v>
      </c>
      <c r="P55" s="173" t="s">
        <v>295</v>
      </c>
    </row>
    <row r="56" spans="1:16" x14ac:dyDescent="0.25">
      <c r="A56" s="4"/>
      <c r="B56" s="171">
        <v>48</v>
      </c>
      <c r="C56" s="122" t="s">
        <v>234</v>
      </c>
      <c r="D56" s="123">
        <v>2</v>
      </c>
      <c r="E56" s="124">
        <v>0.1</v>
      </c>
      <c r="F56" s="125">
        <v>0.2</v>
      </c>
      <c r="G56" s="126">
        <v>0</v>
      </c>
      <c r="H56" s="127">
        <v>189604</v>
      </c>
      <c r="I56" s="128" t="s">
        <v>235</v>
      </c>
      <c r="J56" s="128" t="s">
        <v>236</v>
      </c>
      <c r="K56" s="129" t="s">
        <v>169</v>
      </c>
      <c r="L56" s="128">
        <v>603</v>
      </c>
      <c r="M56" s="172" t="s">
        <v>237</v>
      </c>
      <c r="N56" s="128" t="s">
        <v>27</v>
      </c>
      <c r="O56" s="129" t="s">
        <v>28</v>
      </c>
      <c r="P56" s="173" t="s">
        <v>292</v>
      </c>
    </row>
    <row r="57" spans="1:16" x14ac:dyDescent="0.25">
      <c r="A57" s="4"/>
      <c r="B57" s="171">
        <v>49</v>
      </c>
      <c r="C57" s="122" t="s">
        <v>351</v>
      </c>
      <c r="D57" s="123">
        <v>1</v>
      </c>
      <c r="E57" s="124">
        <v>0.1</v>
      </c>
      <c r="F57" s="125">
        <v>0.1</v>
      </c>
      <c r="G57" s="126">
        <v>0</v>
      </c>
      <c r="H57" s="127">
        <v>120292</v>
      </c>
      <c r="I57" s="128" t="s">
        <v>400</v>
      </c>
      <c r="J57" s="128" t="s">
        <v>399</v>
      </c>
      <c r="K57" s="129" t="s">
        <v>169</v>
      </c>
      <c r="L57" s="128">
        <v>603</v>
      </c>
      <c r="M57" s="172" t="s">
        <v>321</v>
      </c>
      <c r="N57" s="128" t="s">
        <v>27</v>
      </c>
      <c r="O57" s="129" t="s">
        <v>28</v>
      </c>
      <c r="P57" s="173" t="s">
        <v>401</v>
      </c>
    </row>
    <row r="58" spans="1:16" x14ac:dyDescent="0.25">
      <c r="A58" s="4"/>
      <c r="B58" s="171">
        <v>50</v>
      </c>
      <c r="C58" s="122" t="s">
        <v>230</v>
      </c>
      <c r="D58" s="123">
        <v>2</v>
      </c>
      <c r="E58" s="124">
        <v>0.1</v>
      </c>
      <c r="F58" s="125">
        <v>0.2</v>
      </c>
      <c r="G58" s="126">
        <v>0</v>
      </c>
      <c r="H58" s="127">
        <v>579303</v>
      </c>
      <c r="I58" s="128" t="s">
        <v>231</v>
      </c>
      <c r="J58" s="128" t="s">
        <v>232</v>
      </c>
      <c r="K58" s="129" t="s">
        <v>169</v>
      </c>
      <c r="L58" s="128">
        <v>603</v>
      </c>
      <c r="M58" s="172" t="s">
        <v>233</v>
      </c>
      <c r="N58" s="128" t="s">
        <v>27</v>
      </c>
      <c r="O58" s="129" t="s">
        <v>28</v>
      </c>
      <c r="P58" s="173" t="s">
        <v>291</v>
      </c>
    </row>
    <row r="59" spans="1:16" x14ac:dyDescent="0.25">
      <c r="A59" s="4"/>
      <c r="B59" s="171">
        <v>51</v>
      </c>
      <c r="C59" s="122" t="s">
        <v>352</v>
      </c>
      <c r="D59" s="123">
        <v>2</v>
      </c>
      <c r="E59" s="124">
        <v>0.1</v>
      </c>
      <c r="F59" s="125">
        <v>0.2</v>
      </c>
      <c r="G59" s="126">
        <v>0</v>
      </c>
      <c r="H59" s="127">
        <v>787796</v>
      </c>
      <c r="I59" s="128" t="s">
        <v>403</v>
      </c>
      <c r="J59" s="128" t="s">
        <v>402</v>
      </c>
      <c r="K59" s="129" t="s">
        <v>169</v>
      </c>
      <c r="L59" s="128">
        <v>603</v>
      </c>
      <c r="M59" s="172" t="s">
        <v>322</v>
      </c>
      <c r="N59" s="128" t="s">
        <v>27</v>
      </c>
      <c r="O59" s="129" t="s">
        <v>28</v>
      </c>
      <c r="P59" s="173" t="s">
        <v>404</v>
      </c>
    </row>
    <row r="60" spans="1:16" x14ac:dyDescent="0.25">
      <c r="A60" s="4"/>
      <c r="B60" s="171">
        <v>52</v>
      </c>
      <c r="C60" s="122" t="s">
        <v>353</v>
      </c>
      <c r="D60" s="123">
        <v>2</v>
      </c>
      <c r="E60" s="124">
        <v>0.1</v>
      </c>
      <c r="F60" s="125">
        <v>0.2</v>
      </c>
      <c r="G60" s="126">
        <v>0</v>
      </c>
      <c r="H60" s="127">
        <v>378140</v>
      </c>
      <c r="I60" s="128" t="s">
        <v>406</v>
      </c>
      <c r="J60" s="128" t="s">
        <v>405</v>
      </c>
      <c r="K60" s="129" t="s">
        <v>169</v>
      </c>
      <c r="L60" s="128">
        <v>603</v>
      </c>
      <c r="M60" s="172" t="s">
        <v>323</v>
      </c>
      <c r="N60" s="128" t="s">
        <v>27</v>
      </c>
      <c r="O60" s="129" t="s">
        <v>28</v>
      </c>
      <c r="P60" s="173" t="s">
        <v>407</v>
      </c>
    </row>
    <row r="61" spans="1:16" x14ac:dyDescent="0.25">
      <c r="A61" s="4"/>
      <c r="B61" s="171">
        <v>53</v>
      </c>
      <c r="C61" s="122" t="s">
        <v>419</v>
      </c>
      <c r="D61" s="123">
        <v>1</v>
      </c>
      <c r="E61" s="124">
        <v>0.1</v>
      </c>
      <c r="F61" s="125">
        <v>0.1</v>
      </c>
      <c r="G61" s="185">
        <v>1000</v>
      </c>
      <c r="H61" s="127">
        <v>2429852</v>
      </c>
      <c r="I61" s="128" t="s">
        <v>306</v>
      </c>
      <c r="J61" s="128" t="s">
        <v>305</v>
      </c>
      <c r="K61" s="129" t="s">
        <v>169</v>
      </c>
      <c r="L61" s="128">
        <v>603</v>
      </c>
      <c r="M61" s="172" t="s">
        <v>304</v>
      </c>
      <c r="N61" s="128" t="s">
        <v>27</v>
      </c>
      <c r="O61" s="129" t="s">
        <v>28</v>
      </c>
      <c r="P61" s="173" t="s">
        <v>264</v>
      </c>
    </row>
    <row r="62" spans="1:16" ht="25.5" x14ac:dyDescent="0.25">
      <c r="A62" s="4"/>
      <c r="B62" s="171">
        <v>54</v>
      </c>
      <c r="C62" s="122" t="s">
        <v>354</v>
      </c>
      <c r="D62" s="123">
        <v>16</v>
      </c>
      <c r="E62" s="124">
        <v>1.04E-2</v>
      </c>
      <c r="F62" s="125">
        <v>0.16639999999999999</v>
      </c>
      <c r="G62" s="126">
        <v>0</v>
      </c>
      <c r="H62" s="127">
        <v>3671</v>
      </c>
      <c r="I62" s="128" t="s">
        <v>227</v>
      </c>
      <c r="J62" s="128" t="s">
        <v>228</v>
      </c>
      <c r="K62" s="129" t="s">
        <v>207</v>
      </c>
      <c r="L62" s="128">
        <v>603</v>
      </c>
      <c r="M62" s="172" t="s">
        <v>229</v>
      </c>
      <c r="N62" s="128" t="s">
        <v>27</v>
      </c>
      <c r="O62" s="129" t="s">
        <v>28</v>
      </c>
      <c r="P62" s="173">
        <v>680</v>
      </c>
    </row>
    <row r="63" spans="1:16" x14ac:dyDescent="0.25">
      <c r="A63" s="4"/>
      <c r="B63" s="171">
        <v>55</v>
      </c>
      <c r="C63" s="122" t="s">
        <v>355</v>
      </c>
      <c r="D63" s="123">
        <v>2</v>
      </c>
      <c r="E63" s="124">
        <v>0.1</v>
      </c>
      <c r="F63" s="125">
        <v>0.2</v>
      </c>
      <c r="G63" s="126">
        <v>0</v>
      </c>
      <c r="H63" s="127">
        <v>131259</v>
      </c>
      <c r="I63" s="128" t="s">
        <v>409</v>
      </c>
      <c r="J63" s="128" t="s">
        <v>408</v>
      </c>
      <c r="K63" s="129" t="s">
        <v>169</v>
      </c>
      <c r="L63" s="128">
        <v>603</v>
      </c>
      <c r="M63" s="172" t="s">
        <v>324</v>
      </c>
      <c r="N63" s="128" t="s">
        <v>27</v>
      </c>
      <c r="O63" s="129" t="s">
        <v>28</v>
      </c>
      <c r="P63" s="173">
        <v>510</v>
      </c>
    </row>
    <row r="64" spans="1:16" x14ac:dyDescent="0.25">
      <c r="A64" s="4"/>
      <c r="B64" s="171">
        <v>56</v>
      </c>
      <c r="C64" s="122" t="s">
        <v>223</v>
      </c>
      <c r="D64" s="123">
        <v>1</v>
      </c>
      <c r="E64" s="124">
        <v>0.1</v>
      </c>
      <c r="F64" s="125">
        <v>0.1</v>
      </c>
      <c r="G64" s="126">
        <v>0</v>
      </c>
      <c r="H64" s="127">
        <v>187507</v>
      </c>
      <c r="I64" s="128" t="s">
        <v>224</v>
      </c>
      <c r="J64" s="128" t="s">
        <v>225</v>
      </c>
      <c r="K64" s="129" t="s">
        <v>169</v>
      </c>
      <c r="L64" s="128">
        <v>603</v>
      </c>
      <c r="M64" s="172" t="s">
        <v>226</v>
      </c>
      <c r="N64" s="128" t="s">
        <v>27</v>
      </c>
      <c r="O64" s="129" t="s">
        <v>28</v>
      </c>
      <c r="P64" s="173">
        <v>270</v>
      </c>
    </row>
    <row r="65" spans="1:16" x14ac:dyDescent="0.25">
      <c r="A65" s="4"/>
      <c r="B65" s="171">
        <v>57</v>
      </c>
      <c r="C65" s="122" t="s">
        <v>356</v>
      </c>
      <c r="D65" s="123">
        <v>2</v>
      </c>
      <c r="E65" s="124">
        <v>0.1</v>
      </c>
      <c r="F65" s="125">
        <v>0.2</v>
      </c>
      <c r="G65" s="126">
        <v>0</v>
      </c>
      <c r="H65" s="127">
        <v>157016</v>
      </c>
      <c r="I65" s="128" t="s">
        <v>220</v>
      </c>
      <c r="J65" s="128" t="s">
        <v>221</v>
      </c>
      <c r="K65" s="129" t="s">
        <v>169</v>
      </c>
      <c r="L65" s="128">
        <v>603</v>
      </c>
      <c r="M65" s="172" t="s">
        <v>222</v>
      </c>
      <c r="N65" s="128" t="s">
        <v>27</v>
      </c>
      <c r="O65" s="129" t="s">
        <v>28</v>
      </c>
      <c r="P65" s="173">
        <v>249</v>
      </c>
    </row>
    <row r="66" spans="1:16" x14ac:dyDescent="0.25">
      <c r="A66" s="4"/>
      <c r="B66" s="171">
        <v>58</v>
      </c>
      <c r="C66" s="122" t="s">
        <v>357</v>
      </c>
      <c r="D66" s="123">
        <v>1</v>
      </c>
      <c r="E66" s="124">
        <v>0.1</v>
      </c>
      <c r="F66" s="125">
        <v>0.1</v>
      </c>
      <c r="G66" s="126">
        <v>0</v>
      </c>
      <c r="H66" s="127">
        <v>189456</v>
      </c>
      <c r="I66" s="128" t="s">
        <v>411</v>
      </c>
      <c r="J66" s="128" t="s">
        <v>410</v>
      </c>
      <c r="K66" s="129" t="s">
        <v>207</v>
      </c>
      <c r="L66" s="128">
        <v>603</v>
      </c>
      <c r="M66" s="172" t="s">
        <v>325</v>
      </c>
      <c r="N66" s="128" t="s">
        <v>27</v>
      </c>
      <c r="O66" s="129" t="s">
        <v>28</v>
      </c>
      <c r="P66" s="173">
        <v>240</v>
      </c>
    </row>
    <row r="67" spans="1:16" ht="25.5" x14ac:dyDescent="0.25">
      <c r="A67" s="4"/>
      <c r="B67" s="171">
        <v>59</v>
      </c>
      <c r="C67" s="122" t="s">
        <v>358</v>
      </c>
      <c r="D67" s="123">
        <v>9</v>
      </c>
      <c r="E67" s="124">
        <v>1.04E-2</v>
      </c>
      <c r="F67" s="125">
        <v>9.3599999999999989E-2</v>
      </c>
      <c r="G67" s="185">
        <v>500</v>
      </c>
      <c r="H67" s="127">
        <v>7029</v>
      </c>
      <c r="I67" s="128" t="s">
        <v>217</v>
      </c>
      <c r="J67" s="128" t="s">
        <v>218</v>
      </c>
      <c r="K67" s="129" t="s">
        <v>207</v>
      </c>
      <c r="L67" s="128">
        <v>603</v>
      </c>
      <c r="M67" s="172" t="s">
        <v>219</v>
      </c>
      <c r="N67" s="128" t="s">
        <v>27</v>
      </c>
      <c r="O67" s="129" t="s">
        <v>28</v>
      </c>
      <c r="P67" s="173">
        <v>220</v>
      </c>
    </row>
    <row r="68" spans="1:16" x14ac:dyDescent="0.25">
      <c r="A68" s="4"/>
      <c r="B68" s="171">
        <v>60</v>
      </c>
      <c r="C68" s="122" t="s">
        <v>359</v>
      </c>
      <c r="D68" s="123">
        <v>3</v>
      </c>
      <c r="E68" s="124">
        <v>0.1</v>
      </c>
      <c r="F68" s="125">
        <v>0.30000000000000004</v>
      </c>
      <c r="G68" s="126">
        <v>0</v>
      </c>
      <c r="H68" s="127">
        <v>1682197</v>
      </c>
      <c r="I68" s="128" t="s">
        <v>214</v>
      </c>
      <c r="J68" s="128" t="s">
        <v>215</v>
      </c>
      <c r="K68" s="129" t="s">
        <v>169</v>
      </c>
      <c r="L68" s="128">
        <v>603</v>
      </c>
      <c r="M68" s="172" t="s">
        <v>216</v>
      </c>
      <c r="N68" s="128" t="s">
        <v>27</v>
      </c>
      <c r="O68" s="129" t="s">
        <v>28</v>
      </c>
      <c r="P68" s="173">
        <v>100</v>
      </c>
    </row>
    <row r="69" spans="1:16" x14ac:dyDescent="0.25">
      <c r="A69" s="4"/>
      <c r="B69" s="171">
        <v>61</v>
      </c>
      <c r="C69" s="122" t="s">
        <v>360</v>
      </c>
      <c r="D69" s="123">
        <v>1</v>
      </c>
      <c r="E69" s="124">
        <v>0.1</v>
      </c>
      <c r="F69" s="125">
        <v>0.1</v>
      </c>
      <c r="G69" s="126">
        <v>0</v>
      </c>
      <c r="H69" s="127">
        <v>56944</v>
      </c>
      <c r="I69" s="128" t="s">
        <v>211</v>
      </c>
      <c r="J69" s="128" t="s">
        <v>212</v>
      </c>
      <c r="K69" s="129" t="s">
        <v>169</v>
      </c>
      <c r="L69" s="128">
        <v>603</v>
      </c>
      <c r="M69" s="172" t="s">
        <v>213</v>
      </c>
      <c r="N69" s="128" t="s">
        <v>27</v>
      </c>
      <c r="O69" s="129" t="s">
        <v>28</v>
      </c>
      <c r="P69" s="173">
        <v>62</v>
      </c>
    </row>
    <row r="70" spans="1:16" x14ac:dyDescent="0.25">
      <c r="A70" s="4"/>
      <c r="B70" s="171">
        <v>62</v>
      </c>
      <c r="C70" s="122" t="s">
        <v>421</v>
      </c>
      <c r="D70" s="123">
        <v>9</v>
      </c>
      <c r="E70" s="124">
        <v>0.1</v>
      </c>
      <c r="F70" s="125">
        <v>0.9</v>
      </c>
      <c r="G70" s="126">
        <v>0</v>
      </c>
      <c r="H70" s="127">
        <v>1323202</v>
      </c>
      <c r="I70" s="128" t="s">
        <v>413</v>
      </c>
      <c r="J70" s="128" t="s">
        <v>412</v>
      </c>
      <c r="K70" s="129" t="s">
        <v>169</v>
      </c>
      <c r="L70" s="128">
        <v>603</v>
      </c>
      <c r="M70" s="172" t="s">
        <v>326</v>
      </c>
      <c r="N70" s="128" t="s">
        <v>27</v>
      </c>
      <c r="O70" s="129" t="s">
        <v>28</v>
      </c>
      <c r="P70" s="173" t="s">
        <v>308</v>
      </c>
    </row>
    <row r="71" spans="1:16" x14ac:dyDescent="0.25">
      <c r="A71" s="4"/>
      <c r="B71" s="171">
        <v>63</v>
      </c>
      <c r="C71" s="122" t="s">
        <v>210</v>
      </c>
      <c r="D71" s="123">
        <v>2</v>
      </c>
      <c r="E71" s="124">
        <v>0.1</v>
      </c>
      <c r="F71" s="125">
        <v>0.2</v>
      </c>
      <c r="G71" s="126">
        <v>0</v>
      </c>
      <c r="H71" s="127">
        <v>44521</v>
      </c>
      <c r="I71" s="128" t="s">
        <v>415</v>
      </c>
      <c r="J71" s="128" t="s">
        <v>414</v>
      </c>
      <c r="K71" s="129" t="s">
        <v>169</v>
      </c>
      <c r="L71" s="128">
        <v>603</v>
      </c>
      <c r="M71" s="172" t="s">
        <v>327</v>
      </c>
      <c r="N71" s="128" t="s">
        <v>27</v>
      </c>
      <c r="O71" s="129" t="s">
        <v>28</v>
      </c>
      <c r="P71" s="173">
        <v>39</v>
      </c>
    </row>
    <row r="72" spans="1:16" x14ac:dyDescent="0.25">
      <c r="A72" s="4"/>
      <c r="B72" s="171">
        <v>64</v>
      </c>
      <c r="C72" s="122" t="s">
        <v>361</v>
      </c>
      <c r="D72" s="123">
        <v>2</v>
      </c>
      <c r="E72" s="124">
        <v>0.1</v>
      </c>
      <c r="F72" s="125">
        <v>0.2</v>
      </c>
      <c r="G72" s="185">
        <v>500</v>
      </c>
      <c r="H72" s="127">
        <v>140351</v>
      </c>
      <c r="I72" s="128" t="s">
        <v>290</v>
      </c>
      <c r="J72" s="128" t="s">
        <v>289</v>
      </c>
      <c r="K72" s="129" t="s">
        <v>169</v>
      </c>
      <c r="L72" s="128">
        <v>603</v>
      </c>
      <c r="M72" s="172" t="s">
        <v>209</v>
      </c>
      <c r="N72" s="128" t="s">
        <v>27</v>
      </c>
      <c r="O72" s="129" t="s">
        <v>28</v>
      </c>
      <c r="P72" s="173" t="s">
        <v>309</v>
      </c>
    </row>
    <row r="73" spans="1:16" x14ac:dyDescent="0.25">
      <c r="A73" s="4"/>
      <c r="B73" s="171">
        <v>65</v>
      </c>
      <c r="C73" s="122" t="s">
        <v>362</v>
      </c>
      <c r="D73" s="123">
        <v>2</v>
      </c>
      <c r="E73" s="124">
        <v>0.1</v>
      </c>
      <c r="F73" s="125">
        <v>0.2</v>
      </c>
      <c r="G73" s="126">
        <v>0</v>
      </c>
      <c r="H73" s="127">
        <v>37114</v>
      </c>
      <c r="I73" s="128" t="s">
        <v>288</v>
      </c>
      <c r="J73" s="128" t="s">
        <v>416</v>
      </c>
      <c r="K73" s="129" t="s">
        <v>207</v>
      </c>
      <c r="L73" s="128">
        <v>603</v>
      </c>
      <c r="M73" s="172" t="s">
        <v>328</v>
      </c>
      <c r="N73" s="128" t="s">
        <v>27</v>
      </c>
      <c r="O73" s="129" t="s">
        <v>28</v>
      </c>
      <c r="P73" s="173" t="s">
        <v>310</v>
      </c>
    </row>
    <row r="74" spans="1:16" x14ac:dyDescent="0.25">
      <c r="A74" s="4"/>
      <c r="B74" s="171">
        <v>66</v>
      </c>
      <c r="C74" s="122" t="s">
        <v>204</v>
      </c>
      <c r="D74" s="123">
        <v>2</v>
      </c>
      <c r="E74" s="124">
        <v>0.1</v>
      </c>
      <c r="F74" s="125">
        <v>0.2</v>
      </c>
      <c r="G74" s="126">
        <v>0</v>
      </c>
      <c r="H74" s="127">
        <v>801704</v>
      </c>
      <c r="I74" s="128" t="s">
        <v>205</v>
      </c>
      <c r="J74" s="128" t="s">
        <v>206</v>
      </c>
      <c r="K74" s="129" t="s">
        <v>207</v>
      </c>
      <c r="L74" s="128">
        <v>603</v>
      </c>
      <c r="M74" s="172" t="s">
        <v>208</v>
      </c>
      <c r="N74" s="128" t="s">
        <v>27</v>
      </c>
      <c r="O74" s="129" t="s">
        <v>28</v>
      </c>
      <c r="P74" s="173">
        <v>10</v>
      </c>
    </row>
    <row r="75" spans="1:16" x14ac:dyDescent="0.25">
      <c r="A75" s="4"/>
      <c r="B75" s="171">
        <v>67</v>
      </c>
      <c r="C75" s="122" t="s">
        <v>200</v>
      </c>
      <c r="D75" s="123">
        <v>1</v>
      </c>
      <c r="E75" s="124">
        <v>1.1499999999999999</v>
      </c>
      <c r="F75" s="125">
        <v>1.1499999999999999</v>
      </c>
      <c r="G75" s="185">
        <v>7</v>
      </c>
      <c r="H75" s="127">
        <v>7703</v>
      </c>
      <c r="I75" s="128" t="s">
        <v>201</v>
      </c>
      <c r="J75" s="128" t="s">
        <v>202</v>
      </c>
      <c r="K75" s="129" t="s">
        <v>169</v>
      </c>
      <c r="L75" s="128">
        <v>805</v>
      </c>
      <c r="M75" s="172" t="s">
        <v>203</v>
      </c>
      <c r="N75" s="128" t="s">
        <v>27</v>
      </c>
      <c r="O75" s="129" t="s">
        <v>28</v>
      </c>
      <c r="P75" s="173" t="s">
        <v>311</v>
      </c>
    </row>
    <row r="76" spans="1:16" x14ac:dyDescent="0.25">
      <c r="A76" s="4"/>
      <c r="B76" s="171">
        <v>68</v>
      </c>
      <c r="C76" s="122" t="s">
        <v>363</v>
      </c>
      <c r="D76" s="123">
        <v>1</v>
      </c>
      <c r="E76" s="124">
        <v>0.1</v>
      </c>
      <c r="F76" s="125">
        <v>0.1</v>
      </c>
      <c r="G76" s="126">
        <v>0</v>
      </c>
      <c r="H76" s="127">
        <v>4112623</v>
      </c>
      <c r="I76" s="128" t="s">
        <v>418</v>
      </c>
      <c r="J76" s="128" t="s">
        <v>417</v>
      </c>
      <c r="K76" s="129" t="s">
        <v>169</v>
      </c>
      <c r="L76" s="128">
        <v>603</v>
      </c>
      <c r="M76" s="172" t="s">
        <v>329</v>
      </c>
      <c r="N76" s="128" t="s">
        <v>27</v>
      </c>
      <c r="O76" s="129" t="s">
        <v>28</v>
      </c>
      <c r="P76" s="173">
        <v>0</v>
      </c>
    </row>
    <row r="77" spans="1:16" x14ac:dyDescent="0.25">
      <c r="A77" s="4"/>
      <c r="B77" s="171">
        <v>69</v>
      </c>
      <c r="C77" s="122" t="s">
        <v>364</v>
      </c>
      <c r="D77" s="123">
        <v>1</v>
      </c>
      <c r="E77" s="124"/>
      <c r="F77" s="125"/>
      <c r="G77" s="126"/>
      <c r="H77" s="127"/>
      <c r="I77" s="128" t="s">
        <v>367</v>
      </c>
      <c r="J77" s="128"/>
      <c r="K77" s="129"/>
      <c r="L77" s="128"/>
      <c r="M77" s="172"/>
      <c r="N77" s="128"/>
      <c r="O77" s="129"/>
      <c r="P77" s="173"/>
    </row>
    <row r="78" spans="1:16" x14ac:dyDescent="0.25">
      <c r="A78" s="4"/>
      <c r="B78" s="174">
        <v>70</v>
      </c>
      <c r="C78" s="175" t="s">
        <v>186</v>
      </c>
      <c r="D78" s="176">
        <v>1</v>
      </c>
      <c r="E78" s="177"/>
      <c r="F78" s="178"/>
      <c r="G78" s="126"/>
      <c r="H78" s="179"/>
      <c r="I78" s="180" t="s">
        <v>187</v>
      </c>
      <c r="J78" s="180"/>
      <c r="K78" s="181"/>
      <c r="L78" s="180"/>
      <c r="M78" s="182"/>
      <c r="N78" s="180"/>
      <c r="O78" s="181"/>
      <c r="P78" s="183"/>
    </row>
    <row r="79" spans="1:16" x14ac:dyDescent="0.25">
      <c r="A79" s="4"/>
      <c r="B79" s="174">
        <v>71</v>
      </c>
      <c r="C79" s="175" t="s">
        <v>365</v>
      </c>
      <c r="D79" s="176">
        <v>5</v>
      </c>
      <c r="E79" s="177"/>
      <c r="F79" s="178"/>
      <c r="G79" s="126"/>
      <c r="H79" s="179"/>
      <c r="I79" s="180" t="s">
        <v>368</v>
      </c>
      <c r="J79" s="180"/>
      <c r="K79" s="181"/>
      <c r="L79" s="180"/>
      <c r="M79" s="182"/>
      <c r="N79" s="180"/>
      <c r="O79" s="181"/>
      <c r="P79" s="183"/>
    </row>
    <row r="80" spans="1:16" x14ac:dyDescent="0.25">
      <c r="A80" s="4"/>
      <c r="B80" s="66">
        <v>21</v>
      </c>
      <c r="C80" s="58" t="s">
        <v>366</v>
      </c>
      <c r="D80" s="59">
        <v>3</v>
      </c>
      <c r="E80" s="60"/>
      <c r="F80" s="61"/>
      <c r="G80" s="61"/>
      <c r="H80" s="62"/>
      <c r="I80" s="63" t="s">
        <v>101</v>
      </c>
      <c r="J80" s="63" t="s">
        <v>102</v>
      </c>
      <c r="K80" s="64" t="s">
        <v>103</v>
      </c>
      <c r="L80" s="63"/>
      <c r="M80" s="65"/>
      <c r="N80" s="63"/>
      <c r="O80" s="64"/>
      <c r="P80" s="67"/>
    </row>
    <row r="81" spans="1:16" ht="15.75" thickBot="1" x14ac:dyDescent="0.3">
      <c r="A81" s="4"/>
      <c r="B81" s="13"/>
      <c r="C81" s="45" t="s">
        <v>15</v>
      </c>
      <c r="D81" s="46">
        <f>SUM(D9:D80)</f>
        <v>238</v>
      </c>
      <c r="E81" s="47"/>
      <c r="F81" s="48">
        <f>SUM(F9:F80)</f>
        <v>146.60129999999987</v>
      </c>
      <c r="G81" s="14"/>
      <c r="H81" s="6"/>
      <c r="I81" s="5"/>
      <c r="J81" s="5"/>
      <c r="K81" s="5"/>
      <c r="L81" s="5"/>
      <c r="M81" s="18"/>
      <c r="N81" s="19"/>
      <c r="O81" s="19"/>
      <c r="P81" s="20"/>
    </row>
    <row r="82" spans="1:16" x14ac:dyDescent="0.25">
      <c r="A82" s="4"/>
      <c r="B82" s="9"/>
      <c r="C82" s="17" t="s">
        <v>16</v>
      </c>
      <c r="D82" s="49"/>
      <c r="E82" s="49"/>
      <c r="F82" s="50">
        <v>130.61183999999994</v>
      </c>
      <c r="G82" s="15"/>
      <c r="H82" s="10"/>
      <c r="I82" s="11"/>
      <c r="J82" s="11"/>
      <c r="K82" s="11"/>
      <c r="L82" s="11"/>
      <c r="M82" s="12"/>
      <c r="N82" s="56"/>
      <c r="O82" s="56"/>
      <c r="P82" s="56"/>
    </row>
    <row r="83" spans="1:16" x14ac:dyDescent="0.25">
      <c r="A83" s="3"/>
      <c r="B83" s="3"/>
      <c r="C83" s="16" t="s">
        <v>10</v>
      </c>
      <c r="D83" s="51"/>
      <c r="E83" s="51"/>
      <c r="F83" s="52">
        <v>95.39606000000002</v>
      </c>
      <c r="G83" s="57"/>
      <c r="H83" s="55" t="s">
        <v>303</v>
      </c>
      <c r="I83" s="55"/>
      <c r="J83" s="55"/>
      <c r="K83" s="55"/>
      <c r="L83" s="56"/>
      <c r="M83" s="56"/>
      <c r="N83" s="56"/>
      <c r="O83" s="56"/>
      <c r="P83" s="56"/>
    </row>
    <row r="84" spans="1:16" x14ac:dyDescent="0.25">
      <c r="A84" s="3"/>
      <c r="B84" s="3"/>
      <c r="C84" s="7" t="s">
        <v>14</v>
      </c>
      <c r="D84" s="51"/>
      <c r="E84" s="51"/>
      <c r="F84" s="52">
        <v>79.796509999999969</v>
      </c>
      <c r="G84" s="57"/>
      <c r="H84" s="55" t="s">
        <v>307</v>
      </c>
      <c r="I84" s="55"/>
      <c r="J84" s="55"/>
      <c r="K84" s="55"/>
      <c r="L84" s="56"/>
      <c r="M84" s="56"/>
      <c r="N84" s="56"/>
      <c r="O84" s="56"/>
      <c r="P84" s="56"/>
    </row>
    <row r="85" spans="1:16" x14ac:dyDescent="0.25">
      <c r="C85" s="7" t="s">
        <v>13</v>
      </c>
      <c r="D85" s="51"/>
      <c r="E85" s="51"/>
      <c r="F85" s="52">
        <v>77.373670000000004</v>
      </c>
      <c r="G85" s="57"/>
      <c r="H85" s="56"/>
      <c r="I85" s="56"/>
      <c r="J85" s="55"/>
      <c r="K85" s="56"/>
      <c r="L85" s="56"/>
      <c r="M85" s="56"/>
      <c r="N85" s="56"/>
      <c r="O85" s="56"/>
      <c r="P85" s="56"/>
    </row>
    <row r="86" spans="1:16" ht="15.75" thickBot="1" x14ac:dyDescent="0.3">
      <c r="B86" t="s">
        <v>11</v>
      </c>
      <c r="C86" s="8" t="s">
        <v>12</v>
      </c>
      <c r="D86" s="53"/>
      <c r="E86" s="53"/>
      <c r="F86" s="54">
        <v>77.373670000000004</v>
      </c>
      <c r="G86" s="57"/>
      <c r="H86" s="56"/>
      <c r="I86" s="56"/>
      <c r="J86" s="55"/>
      <c r="K86" s="56"/>
      <c r="L86" s="56"/>
      <c r="M86" s="56"/>
      <c r="N86" s="56"/>
      <c r="O86" s="56"/>
      <c r="P86" s="56"/>
    </row>
    <row r="87" spans="1:16" x14ac:dyDescent="0.25">
      <c r="J87" s="3"/>
    </row>
    <row r="88" spans="1:16" x14ac:dyDescent="0.25">
      <c r="J88" s="3"/>
    </row>
  </sheetData>
  <mergeCells count="1">
    <mergeCell ref="B2:M2"/>
  </mergeCells>
  <pageMargins left="0.7" right="0.7" top="0.75" bottom="0.75" header="0.3" footer="0.3"/>
  <pageSetup paperSize="9" scale="4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fetch_data">
                <anchor moveWithCells="1" sizeWithCells="1">
                  <from>
                    <xdr:col>2</xdr:col>
                    <xdr:colOff>314325</xdr:colOff>
                    <xdr:row>2</xdr:row>
                    <xdr:rowOff>114300</xdr:rowOff>
                  </from>
                  <to>
                    <xdr:col>5</xdr:col>
                    <xdr:colOff>542925</xdr:colOff>
                    <xdr:row>4</xdr:row>
                    <xdr:rowOff>104775</xdr:rowOff>
                  </to>
                </anchor>
              </controlPr>
            </control>
          </mc:Choice>
        </mc:AlternateContent>
        <mc:AlternateContent xmlns:mc="http://schemas.openxmlformats.org/markup-compatibility/2006">
          <mc:Choice Requires="x14">
            <control shapeId="1027" r:id="rId5" name="Button 3">
              <controlPr defaultSize="0" print="0" autoFill="0" autoPict="0" macro="[0]!stock_operation">
                <anchor moveWithCells="1" sizeWithCells="1">
                  <from>
                    <xdr:col>7</xdr:col>
                    <xdr:colOff>685800</xdr:colOff>
                    <xdr:row>2</xdr:row>
                    <xdr:rowOff>95250</xdr:rowOff>
                  </from>
                  <to>
                    <xdr:col>9</xdr:col>
                    <xdr:colOff>352425</xdr:colOff>
                    <xdr:row>4</xdr:row>
                    <xdr:rowOff>95250</xdr:rowOff>
                  </to>
                </anchor>
              </controlPr>
            </control>
          </mc:Choice>
        </mc:AlternateContent>
        <mc:AlternateContent xmlns:mc="http://schemas.openxmlformats.org/markup-compatibility/2006">
          <mc:Choice Requires="x14">
            <control shapeId="1028" r:id="rId6" name="Button 4">
              <controlPr defaultSize="0" print="0" autoFill="0" autoPict="0" macro="[0]!open_stock">
                <anchor moveWithCells="1" sizeWithCells="1">
                  <from>
                    <xdr:col>11</xdr:col>
                    <xdr:colOff>1095375</xdr:colOff>
                    <xdr:row>2</xdr:row>
                    <xdr:rowOff>95250</xdr:rowOff>
                  </from>
                  <to>
                    <xdr:col>12</xdr:col>
                    <xdr:colOff>2124075</xdr:colOff>
                    <xdr:row>4</xdr:row>
                    <xdr:rowOff>95250</xdr:rowOff>
                  </to>
                </anchor>
              </controlPr>
            </control>
          </mc:Choice>
        </mc:AlternateContent>
        <mc:AlternateContent xmlns:mc="http://schemas.openxmlformats.org/markup-compatibility/2006">
          <mc:Choice Requires="x14">
            <control shapeId="1029" r:id="rId7" name="Button 5">
              <controlPr defaultSize="0" print="0" autoFill="0" autoPict="0" macro="[0]!stock_take">
                <anchor moveWithCells="1" sizeWithCells="1">
                  <from>
                    <xdr:col>10</xdr:col>
                    <xdr:colOff>1038225</xdr:colOff>
                    <xdr:row>2</xdr:row>
                    <xdr:rowOff>95250</xdr:rowOff>
                  </from>
                  <to>
                    <xdr:col>11</xdr:col>
                    <xdr:colOff>895350</xdr:colOff>
                    <xdr:row>4</xdr:row>
                    <xdr:rowOff>95250</xdr:rowOff>
                  </to>
                </anchor>
              </controlPr>
            </control>
          </mc:Choice>
        </mc:AlternateContent>
        <mc:AlternateContent xmlns:mc="http://schemas.openxmlformats.org/markup-compatibility/2006">
          <mc:Choice Requires="x14">
            <control shapeId="1030" r:id="rId8" name="Button 6">
              <controlPr defaultSize="0" print="0" autoFill="0" autoPict="0" macro="[0]!_xludf.Sort">
                <anchor moveWithCells="1" sizeWithCells="1">
                  <from>
                    <xdr:col>5</xdr:col>
                    <xdr:colOff>685800</xdr:colOff>
                    <xdr:row>2</xdr:row>
                    <xdr:rowOff>104775</xdr:rowOff>
                  </from>
                  <to>
                    <xdr:col>7</xdr:col>
                    <xdr:colOff>571500</xdr:colOff>
                    <xdr:row>4</xdr:row>
                    <xdr:rowOff>104775</xdr:rowOff>
                  </to>
                </anchor>
              </controlPr>
            </control>
          </mc:Choice>
        </mc:AlternateContent>
        <mc:AlternateContent xmlns:mc="http://schemas.openxmlformats.org/markup-compatibility/2006">
          <mc:Choice Requires="x14">
            <control shapeId="1031" r:id="rId9" name="Button 7">
              <controlPr defaultSize="0" print="0" autoFill="0" autoPict="0" macro="[0]!random_sort">
                <anchor moveWithCells="1" sizeWithCells="1">
                  <from>
                    <xdr:col>12</xdr:col>
                    <xdr:colOff>2371725</xdr:colOff>
                    <xdr:row>2</xdr:row>
                    <xdr:rowOff>95250</xdr:rowOff>
                  </from>
                  <to>
                    <xdr:col>12</xdr:col>
                    <xdr:colOff>3971925</xdr:colOff>
                    <xdr:row>4</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kicad_check">
                <anchor moveWithCells="1" sizeWithCells="1">
                  <from>
                    <xdr:col>9</xdr:col>
                    <xdr:colOff>552450</xdr:colOff>
                    <xdr:row>2</xdr:row>
                    <xdr:rowOff>85725</xdr:rowOff>
                  </from>
                  <to>
                    <xdr:col>10</xdr:col>
                    <xdr:colOff>838200</xdr:colOff>
                    <xdr:row>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stephan</cp:lastModifiedBy>
  <cp:lastPrinted>2012-07-30T12:19:09Z</cp:lastPrinted>
  <dcterms:created xsi:type="dcterms:W3CDTF">2008-02-20T11:26:06Z</dcterms:created>
  <dcterms:modified xsi:type="dcterms:W3CDTF">2014-04-17T11:14:25Z</dcterms:modified>
</cp:coreProperties>
</file>