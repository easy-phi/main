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D92" i="1" l="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0" i="1"/>
  <c r="F18" i="1"/>
  <c r="F17" i="1"/>
  <c r="F16" i="1"/>
  <c r="F15" i="1"/>
  <c r="F14" i="1"/>
  <c r="F13" i="1"/>
  <c r="F12" i="1"/>
  <c r="F11" i="1"/>
  <c r="F10" i="1"/>
  <c r="F9" i="1"/>
  <c r="F90" i="1" l="1"/>
  <c r="F91" i="1" l="1"/>
  <c r="F92" i="1" s="1"/>
</calcChain>
</file>

<file path=xl/sharedStrings.xml><?xml version="1.0" encoding="utf-8"?>
<sst xmlns="http://schemas.openxmlformats.org/spreadsheetml/2006/main" count="467" uniqueCount="402">
  <si>
    <t>Item</t>
  </si>
  <si>
    <t>Qty</t>
  </si>
  <si>
    <t>Description</t>
  </si>
  <si>
    <t>Manufacturer P/N</t>
  </si>
  <si>
    <t>Manufacturer</t>
  </si>
  <si>
    <t>Internet link</t>
  </si>
  <si>
    <t>Packaging</t>
  </si>
  <si>
    <t>http://www.digikey.com/product-detail/en/MAX5925DEUB%2B/MAX5925DEUB%2B-ND/1937487</t>
  </si>
  <si>
    <t>U2</t>
  </si>
  <si>
    <t>U7</t>
  </si>
  <si>
    <t>Schematics Ref</t>
  </si>
  <si>
    <t>Prototype quantity :</t>
  </si>
  <si>
    <t>http://www.digikey.com/product-detail/en/AD1582BRTZ-REEL7/AD1582BRTZREEL7CT-ND/751229</t>
  </si>
  <si>
    <t>Price/chip</t>
  </si>
  <si>
    <t>Total for 100 prototypes :</t>
  </si>
  <si>
    <t xml:space="preserve"> </t>
  </si>
  <si>
    <t>Total for 10k "prototypes" :</t>
  </si>
  <si>
    <t>Total for 5000 prototypes :</t>
  </si>
  <si>
    <t>Total for 1000 prototypes :</t>
  </si>
  <si>
    <t>Total:</t>
  </si>
  <si>
    <t>Maxim Integrated</t>
  </si>
  <si>
    <t>MAX5925DEUB+</t>
  </si>
  <si>
    <t>IC HOT-SWAP CTRLR N-CH 10-UMAX</t>
  </si>
  <si>
    <t>10-uMAX</t>
  </si>
  <si>
    <t>Atmel</t>
  </si>
  <si>
    <t>RES 49.9 OHM 1/2W 1% 1210 SMD</t>
  </si>
  <si>
    <t>Analog Devices Inc</t>
  </si>
  <si>
    <t>AD1582BRTZ-REEL7</t>
  </si>
  <si>
    <t>IC VREF SERIES PREC 2.5V SOT23-3</t>
  </si>
  <si>
    <t>SOT-23-3</t>
  </si>
  <si>
    <t>Texas Instruments</t>
  </si>
  <si>
    <t>Total for 10 prototypes :</t>
  </si>
  <si>
    <t>SOT-223</t>
  </si>
  <si>
    <t>Home Stock</t>
  </si>
  <si>
    <t>Total Price</t>
  </si>
  <si>
    <t>Digikey Stock</t>
  </si>
  <si>
    <t>Project Bill Of Materials</t>
  </si>
  <si>
    <t>http://www.digikey.com/product-detail/en/MAX5924DEUB%2B/MAX5924DEUB%2B-ND/1937481</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</si>
  <si>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</si>
  <si>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</si>
  <si>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</si>
  <si>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</si>
  <si>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</si>
  <si>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</si>
  <si>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</si>
  <si>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</si>
  <si>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http://www.digikey.com/product-detail/en/5650478-5/A32298-ND/811088</t>
  </si>
  <si>
    <t>http://www.digikey.com/product-detail/en/LM7321MA%2FNOPB/LM7321MA-ND/1871931</t>
  </si>
  <si>
    <t>http://www.digikey.com/product-detail/en/AD8638ARJZ-REEL7/AD8638ARJZ-REEL7CT-ND/1766899</t>
  </si>
  <si>
    <t>http://www.digikey.com/product-detail/en/DAC124S085CIMM%2FNOPB/DAC124S085CIMM%2FNOPBCT-ND/1206422</t>
  </si>
  <si>
    <t>http://www.digikey.com/product-detail/en/MAX889SESA%2B/MAX889SESA%2B-ND/1495384</t>
  </si>
  <si>
    <t>http://www.digikey.com/product-detail/en/MAX9203EKA%2BT/MAX9203EKA%2BTCT-ND/2234713</t>
  </si>
  <si>
    <t>http://www.digikey.com/product-detail/en/G6L-1F-TR-DC5/Z3707CT-ND/3908611</t>
  </si>
  <si>
    <t>http://www.digikey.com/product-detail/en/XC3S50AN-4TQG144I/122-1597-ND/1956977</t>
  </si>
  <si>
    <t>http://www.digikey.com/product-detail/en/LDK120M25R/497-13497-1-ND/3820971</t>
  </si>
  <si>
    <t>http://www.digikey.com/product-detail/en/TLV1117LV12DCYR/296-28776-1-ND/2666518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</si>
  <si>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</si>
  <si>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</si>
  <si>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</si>
  <si>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</si>
  <si>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http://www.digikey.com/product-detail/en/DF11-14DP-2DSA(24)/H10234-ND/934352</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</si>
  <si>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</si>
  <si>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</si>
  <si>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</si>
  <si>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</si>
  <si>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http://www.digikey.com/product-detail/en/NDS355AN/NDS355ANCT-ND/459000</t>
  </si>
  <si>
    <t>http://www.digikey.com/product-detail/en/BFS520,115/568-1654-1-ND/763481</t>
  </si>
  <si>
    <t>http://www.digikey.com/product-detail/en/C2012X5R1C226K/445-6797-1-ND/2524879</t>
  </si>
  <si>
    <t>http://www.digikey.com/product-detail/en/GRM188R60J106ME47D/490-3896-1-ND/965938</t>
  </si>
  <si>
    <t>http://www.digikey.com/product-detail/en/JMK107BJ475KA-T/587-1785-1-ND/1212801</t>
  </si>
  <si>
    <t>http://www.digikey.com/product-detail/en/06036C225KAT2A/478-5316-1-ND/1950983</t>
  </si>
  <si>
    <t>http://www.digikey.com/product-detail/en/EMK107B7105KA-T/587-1241-1-ND/931018</t>
  </si>
  <si>
    <t>http://www.digikey.com/product-detail/en/C0603C104K4RACTU/399-1096-1-ND/411371</t>
  </si>
  <si>
    <t>http://www.digikey.com/product-detail/en/C0603C103K5RACTU/399-1091-1-ND/411366</t>
  </si>
  <si>
    <t>http://www.digikey.com/product-detail/en/CL10C101JB8NNNC/1276-1008-1-ND/3889094</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</si>
  <si>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</si>
  <si>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</si>
  <si>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</si>
  <si>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</si>
  <si>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</si>
  <si>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http://www.digikey.com/product-detail/en/ES1M-TP/ES1M-TPCT-ND/950616</t>
  </si>
  <si>
    <t>http://www.digikey.com/product-detail/en/RCLAMP0502BA.TCT/RCLAMP0502BACT-ND/2603606</t>
  </si>
  <si>
    <t>http://www.digikey.com/product-detail/en/ERJ-3GEYJ106V/P10MGCT-ND/282445</t>
  </si>
  <si>
    <t>http://www.digikey.com/product-detail/en/RC0603FR-071ML/311-1.00MHRCT-ND/729791</t>
  </si>
  <si>
    <t>http://www.digikey.com/product-detail/en/RC0603FR-07390KL/311-390KHRCT-ND/730146</t>
  </si>
  <si>
    <t>http://www.digikey.com/product-detail/en/ERJ-3EKF1203V/P120KHCT-ND/1746729</t>
  </si>
  <si>
    <t>http://www.digikey.com/product-detail/en/ERJ-3EKF1003V/P100KHCT-ND/198110</t>
  </si>
  <si>
    <t>http://www.digikey.com/product-detail/en/ERJ-3EKF5622V/P56.2KHCT-ND/198441</t>
  </si>
  <si>
    <t>http://www.digikey.com/product-detail/en/RC0603FR-0749K9L/311-49.9KHRCT-ND/730212</t>
  </si>
  <si>
    <t>http://www.digikey.com/product-detail/en/ERJ-3EKF4702V/P47.0KHCT-ND/1746783</t>
  </si>
  <si>
    <t>http://www.digikey.com/product-detail/en/ERJ-3EKF3002V/P30.0KHCT-ND/1746758</t>
  </si>
  <si>
    <t>http://www.digikey.com/product-detail/en/RC0603FR-0715K8L/311-15.8KHRCT-ND/729904</t>
  </si>
  <si>
    <t>http://www.digikey.com/product-detail/en/ERJ-3EKF1502V/P15.0KHCT-ND/198172</t>
  </si>
  <si>
    <t>http://www.digikey.com/product-detail/en/ERJ-3EKF1202V/P12.0KHCT-ND/1746728</t>
  </si>
  <si>
    <t>http://www.digikey.com/product-detail/en/ERJ-3EKF1002V/P10.0KHCT-ND/198102</t>
  </si>
  <si>
    <t>http://www.digikey.com/product-detail/en/ERJ-3EKF6801V/P6.80KHCT-ND/1746802</t>
  </si>
  <si>
    <t>http://www.digikey.com/product-detail/en/RC0603FR-074K7L/311-4.70KHRCT-ND/730159</t>
  </si>
  <si>
    <t>http://www.digikey.com/product-detail/en/ERJ-3EKF2001V/P2.00KHCT-ND/198219</t>
  </si>
  <si>
    <t>http://www.digikey.com/product-detail/en/ERJ-3EKF1001V/P1.00KHCT-ND/198071</t>
  </si>
  <si>
    <t>http://www.digikey.com/product-detail/en/RC0603FR-07680RL/311-680HRCT-ND/730302</t>
  </si>
  <si>
    <t>http://www.digikey.com/product-detail/en/ERJ-3GEYJ331V/P330GCT-ND/134778</t>
  </si>
  <si>
    <t>http://www.digikey.com/product-detail/en/ERJ-3EKF2700V/P270HCT-ND/1746751</t>
  </si>
  <si>
    <t>http://www.digikey.com/product-detail/en/RC0603FR-07220RL/311-220HRCT-ND/730008</t>
  </si>
  <si>
    <t>http://www.digikey.com/product-detail/en/ERJ-3EKF1000V/P100HCT-ND/198109</t>
  </si>
  <si>
    <t>http://www.digikey.com/product-detail/en/ERJ-14NF49R9U/P49.9AACT-ND/384811</t>
  </si>
  <si>
    <t>http://www.digikey.com/product-detail/en/RC0603JR-0739RL/311-39GRCT-ND/729726</t>
  </si>
  <si>
    <t>http://www.digikey.com/product-detail/en/RC0603FR-0710RL/311-10.0HRCT-ND/729826</t>
  </si>
  <si>
    <t>http://www.digikey.com/product-detail/en/ERJ-6BWFR030V/P.03AQCT-ND/1466382</t>
  </si>
  <si>
    <t>P1</t>
  </si>
  <si>
    <t>U24 U25 U27 U28</t>
  </si>
  <si>
    <t>MAX5924DEUB+</t>
  </si>
  <si>
    <t>Microchip Technology</t>
  </si>
  <si>
    <t>24LC64-I/SN</t>
  </si>
  <si>
    <t>IC EEPROM 64KBIT 400KHZ 8SOIC</t>
  </si>
  <si>
    <t>8-SOIC N</t>
  </si>
  <si>
    <t>STMicroelectronics</t>
  </si>
  <si>
    <t>USBLC6-2SC6</t>
  </si>
  <si>
    <t>SOT-23-6</t>
  </si>
  <si>
    <t>TPS7A4901DGNR</t>
  </si>
  <si>
    <t>IC REG LDO ADJ 0.15A 8MSOP</t>
  </si>
  <si>
    <t>8-MSOP-PowerPad</t>
  </si>
  <si>
    <t>Alpha &amp;amp; Omega Semiconductor Inc</t>
  </si>
  <si>
    <t>AOZ1280CI</t>
  </si>
  <si>
    <t>IC REG BUCK ADJ 1.2A SOT23-6</t>
  </si>
  <si>
    <t>ATSAM3X8EA-AU</t>
  </si>
  <si>
    <t>IC MCU 32BIT 512KB FLASH 144LQFP</t>
  </si>
  <si>
    <t>144-LQFP</t>
  </si>
  <si>
    <t>SN74LVC2G240DCTR</t>
  </si>
  <si>
    <t>IC INVERTER DUAL 1-INPUT SM8</t>
  </si>
  <si>
    <t>8-LSSOP (0.11", 2.80mm Width)</t>
  </si>
  <si>
    <t>SN65LVDM176DGK</t>
  </si>
  <si>
    <t>IC HS DIFF LINE TXRX 8VSSOP</t>
  </si>
  <si>
    <t>8-MSOP</t>
  </si>
  <si>
    <t>TE Connectivity</t>
  </si>
  <si>
    <t>FSMRA7JH</t>
  </si>
  <si>
    <t>SWITCH TACTILE SPST-NO 0.05A 12V</t>
  </si>
  <si>
    <t>5650478-5</t>
  </si>
  <si>
    <t>CONN DIN PLUG 48POS RT ANG PCB</t>
  </si>
  <si>
    <t>LM7321MA/NOPB</t>
  </si>
  <si>
    <t>IC OPAMP GP 20MHZ RRO 8SOIC</t>
  </si>
  <si>
    <t>8-SOIC</t>
  </si>
  <si>
    <t>AD8638ARJZ-REEL7</t>
  </si>
  <si>
    <t>IC OPAMP AUTO-ZRO 1.5MHZ SOT23-5</t>
  </si>
  <si>
    <t>SOT-23-5</t>
  </si>
  <si>
    <t>DAC124S085CIMM/NOPB</t>
  </si>
  <si>
    <t>IC DAC 12BIT QUAD R-R 10-MSOP</t>
  </si>
  <si>
    <t>10-VSSOP</t>
  </si>
  <si>
    <t>U1</t>
  </si>
  <si>
    <t>U3</t>
  </si>
  <si>
    <t>U4</t>
  </si>
  <si>
    <t>U5</t>
  </si>
  <si>
    <t>U6 U30 U43</t>
  </si>
  <si>
    <t>U8 U44 U45 U46</t>
  </si>
  <si>
    <t>U9</t>
  </si>
  <si>
    <t>U10</t>
  </si>
  <si>
    <t>U11 U17 U18 U19 U20 U21 U23</t>
  </si>
  <si>
    <t>U12</t>
  </si>
  <si>
    <t>U22 U26</t>
  </si>
  <si>
    <t>U36 U37</t>
  </si>
  <si>
    <t>U33 U34 U35</t>
  </si>
  <si>
    <t>U32</t>
  </si>
  <si>
    <t>U31</t>
  </si>
  <si>
    <t>U38</t>
  </si>
  <si>
    <t>U29 U41</t>
  </si>
  <si>
    <t>U13 U39 U14 U40</t>
  </si>
  <si>
    <t>U42</t>
  </si>
  <si>
    <t>U47</t>
  </si>
  <si>
    <t>U48</t>
  </si>
  <si>
    <t>X1</t>
  </si>
  <si>
    <t>X2</t>
  </si>
  <si>
    <t>J1</t>
  </si>
  <si>
    <t>J2</t>
  </si>
  <si>
    <t>P2</t>
  </si>
  <si>
    <t>L1 L2 L3</t>
  </si>
  <si>
    <t>Q1</t>
  </si>
  <si>
    <t>Q2 Q3</t>
  </si>
  <si>
    <t>Q4 Q6 Q5 Q7</t>
  </si>
  <si>
    <t>Q8 Q9 Q10 Q11</t>
  </si>
  <si>
    <t>C5 C13 C22 C62 C74 C77 C91 C138 C146</t>
  </si>
  <si>
    <t>C4 C12 C19 C23 C37 C45 C52 C53 C145 C149 C150</t>
  </si>
  <si>
    <t>C72</t>
  </si>
  <si>
    <t>C65 C82</t>
  </si>
  <si>
    <t>C1 C2 C143</t>
  </si>
  <si>
    <t>C3 C6 C18 C71 C102 C103 C104 C105 C144 C147 C54 C95 C107 C109 C111 C113 C115 C117 C119 C121 C123 C125 C127 C129 C131 C133 C135 C137</t>
  </si>
  <si>
    <t>C78 C83 C85 C87 C55 C96</t>
  </si>
  <si>
    <t>C27 C28 C31 C47 C48</t>
  </si>
  <si>
    <t>D4 D16 D23</t>
  </si>
  <si>
    <t>D1</t>
  </si>
  <si>
    <t>D2 D20 D21 D22</t>
  </si>
  <si>
    <t>D3 D6 D7 D8 D9 D11 D12</t>
  </si>
  <si>
    <t>D13 D15 D17 D19</t>
  </si>
  <si>
    <t>D14 D18 D24 D25 D26 D27</t>
  </si>
  <si>
    <t>R62 R88</t>
  </si>
  <si>
    <t>R63 R89</t>
  </si>
  <si>
    <t>R7</t>
  </si>
  <si>
    <t>R11 R69 R72 R74 R75</t>
  </si>
  <si>
    <t>R17 R18 R19 R20 R21 R22 R52</t>
  </si>
  <si>
    <t>R86 R87</t>
  </si>
  <si>
    <t>R30 R31 R32 R33</t>
  </si>
  <si>
    <t>R68 R70 R71 R73 R79 R82 R84 R85</t>
  </si>
  <si>
    <t>R54 R113</t>
  </si>
  <si>
    <t>R78 R80 R81 R83</t>
  </si>
  <si>
    <t>R13</t>
  </si>
  <si>
    <t>R1 R6 R15 R16 R27 R28 R29 R34 R35 R61 R67 R114 R115 R116 R117 R118 R119 R126</t>
  </si>
  <si>
    <t>R14 R25</t>
  </si>
  <si>
    <t>R106 R111</t>
  </si>
  <si>
    <t>R4 R8</t>
  </si>
  <si>
    <t>R36 R38 R39 R40 R41 R42 R45 R47 R49 R51 R55 R56 R58 R60</t>
  </si>
  <si>
    <t>R105</t>
  </si>
  <si>
    <t>R10</t>
  </si>
  <si>
    <t>R37 R44 R46 R48 R50 R57 R59</t>
  </si>
  <si>
    <t>R64 R90</t>
  </si>
  <si>
    <t>R23 R24</t>
  </si>
  <si>
    <t>R2 R3</t>
  </si>
  <si>
    <t>R9</t>
  </si>
  <si>
    <t>MAX889SESA+</t>
  </si>
  <si>
    <t>IC REG SWITCHD CAP INV ADJ 8SOIC</t>
  </si>
  <si>
    <t>MAX9203EKA+T</t>
  </si>
  <si>
    <t>IC COMPARATOR LP SOT23-8</t>
  </si>
  <si>
    <t>SOT-23-8</t>
  </si>
  <si>
    <t>Omron Electronics Inc-EMC Div</t>
  </si>
  <si>
    <t>G6L-1F-TR-DC5</t>
  </si>
  <si>
    <t>RELAY TELECOM SPST 1A 5V</t>
  </si>
  <si>
    <t>Xilinx Inc</t>
  </si>
  <si>
    <t>XC3S50AN-4TQG144I</t>
  </si>
  <si>
    <t>IC FPGA SPARTAN-3AN50K 144-TQFP</t>
  </si>
  <si>
    <t>144-TQFP (20x20)</t>
  </si>
  <si>
    <t>LDK120M25R</t>
  </si>
  <si>
    <t>IC REG LDO 2.5V 0.2A SOT23-5</t>
  </si>
  <si>
    <t>TLV1117LV12DCYR</t>
  </si>
  <si>
    <t>IC REG LDO 1.2V 1A SOT223</t>
  </si>
  <si>
    <t>TXC CORPORATION</t>
  </si>
  <si>
    <t>7A-12.000MAAJ-T</t>
  </si>
  <si>
    <t>CRYSTAL 12MHZ 18PF SMD</t>
  </si>
  <si>
    <t>2-SMD</t>
  </si>
  <si>
    <t>Abracon Corporation</t>
  </si>
  <si>
    <t>ABS25-32.768KHZ-T</t>
  </si>
  <si>
    <t>CRYSTAL 32.768KHZ 12.5PF SMD</t>
  </si>
  <si>
    <t>4-SOJ, 5.50mm pitch</t>
  </si>
  <si>
    <t>Sullins Connector Solutions</t>
  </si>
  <si>
    <t>SBH11-PBPC-D10-ST-BK</t>
  </si>
  <si>
    <t>CONN HEADER 2.54MM 20POS GOLD</t>
  </si>
  <si>
    <t>Amphenol Commercial Products</t>
  </si>
  <si>
    <t>114-00841-68</t>
  </si>
  <si>
    <t>CONN MINI MICRO-SD 8PIN PCB GOLD</t>
  </si>
  <si>
    <t>Hirose Electric Co Ltd</t>
  </si>
  <si>
    <t>DF11-14DP-2DSA(24)</t>
  </si>
  <si>
    <t>CONN HEADER 14POS 2MM PCB TIN</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</si>
  <si>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</si>
  <si>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</si>
  <si>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</si>
  <si>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</si>
  <si>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</si>
  <si>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</si>
  <si>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</si>
  <si>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</si>
  <si>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</si>
  <si>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</si>
  <si>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</si>
  <si>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SOT-23-3 (TO-236)</t>
  </si>
  <si>
    <t>Fairchild Semiconductor</t>
  </si>
  <si>
    <t>FDD8780</t>
  </si>
  <si>
    <t>MOSFET N-CH 25V 35A TO-252AA</t>
  </si>
  <si>
    <t>D-Pak</t>
  </si>
  <si>
    <t>NDS355AN</t>
  </si>
  <si>
    <t>MOSFET N-CH 30V 1.7A SSOT3</t>
  </si>
  <si>
    <t>3-SSOT</t>
  </si>
  <si>
    <t>NXP Semiconductors</t>
  </si>
  <si>
    <t>BFS520,115</t>
  </si>
  <si>
    <t>TRANS NPN 70MA 15V 9GHZ SOT323</t>
  </si>
  <si>
    <t>SOT-323</t>
  </si>
  <si>
    <t>TDK Corporation</t>
  </si>
  <si>
    <t>C2012X5R1C226K125AC</t>
  </si>
  <si>
    <t>CAP CER 22UF 16V 10% X5R 0805</t>
  </si>
  <si>
    <t>0805 (2012 Metric)</t>
  </si>
  <si>
    <t>GRM188R60J106ME47D</t>
  </si>
  <si>
    <t>CAP CER 10UF 6.3V 20% X5R 0603</t>
  </si>
  <si>
    <t>JMK107BJ475KA-T</t>
  </si>
  <si>
    <t>CAP CER 4.7UF 6.3V 10% X5R 0603</t>
  </si>
  <si>
    <t>AVX Corporation</t>
  </si>
  <si>
    <t>06036C225KAT2A</t>
  </si>
  <si>
    <t>CAP CER 2.2UF 6.3V 10% X7R 0603</t>
  </si>
  <si>
    <t>EMK107B7105KA-T</t>
  </si>
  <si>
    <t>CAP CER 1UF 16V 10% X7R 0603</t>
  </si>
  <si>
    <t>Kemet</t>
  </si>
  <si>
    <t>C0603C104K4RACTU</t>
  </si>
  <si>
    <t>CAP CER 0.1UF 16V 10% X7R 0603</t>
  </si>
  <si>
    <t>C0603C103K5RACTU</t>
  </si>
  <si>
    <t>CAP CER 10000PF 50V 10% X7R 0603</t>
  </si>
  <si>
    <t>Samsung Electro-Mechanics America, Inc</t>
  </si>
  <si>
    <t>CL10C101JB8NNNC</t>
  </si>
  <si>
    <t>CAP CER 100PF 50V 5% NP0 0603</t>
  </si>
  <si>
    <t>C1608C0G1H220J080AA</t>
  </si>
  <si>
    <t>CAP CER 22PF 50V 5% NP0 0603</t>
  </si>
  <si>
    <t>ON Semiconductor</t>
  </si>
  <si>
    <t>MBRS340T3G</t>
  </si>
  <si>
    <t>DIODE SCHOTTKY 40V 4A SMC</t>
  </si>
  <si>
    <t>SMC</t>
  </si>
  <si>
    <t>Littelfuse Inc</t>
  </si>
  <si>
    <t>SMAJ12A</t>
  </si>
  <si>
    <t>SMA</t>
  </si>
  <si>
    <t>SMLVT3V3</t>
  </si>
  <si>
    <t>SMB</t>
  </si>
  <si>
    <t>Cree Inc</t>
  </si>
  <si>
    <t>CLV1A-FKB-CJ1M1F1BB7R4S3</t>
  </si>
  <si>
    <t>LED RED/GREEN/BLUE PLCC4 SMD</t>
  </si>
  <si>
    <t>4-PLCC</t>
  </si>
  <si>
    <t>Micro Commercial Co</t>
  </si>
  <si>
    <t>ES1M-TP</t>
  </si>
  <si>
    <t>DIODE FAST REC 1KV 1A DO214AC</t>
  </si>
  <si>
    <t>DO-214AC</t>
  </si>
  <si>
    <t>Semtech</t>
  </si>
  <si>
    <t>RCLAMP0502BATCT</t>
  </si>
  <si>
    <t>SC-75</t>
  </si>
  <si>
    <t>Panasonic Electronic Components</t>
  </si>
  <si>
    <t>ERJ-3GEYJ106V</t>
  </si>
  <si>
    <t>RES 10M OHM 1/10W 5% 0603 SMD</t>
  </si>
  <si>
    <t>Yageo</t>
  </si>
  <si>
    <t>RC0603FR-071ML</t>
  </si>
  <si>
    <t>RES 1.00M OHM 1/10W 1% 0603 SMD</t>
  </si>
  <si>
    <t>RC0603FR-07390KL</t>
  </si>
  <si>
    <t>RES 390K OHM 1/10W 1% 0603 SMD</t>
  </si>
  <si>
    <t>ERJ-3EKF1203V</t>
  </si>
  <si>
    <t>RES 120K OHM 1/10W 1% 0603 SMD</t>
  </si>
  <si>
    <t>ERJ-3EKF1003V</t>
  </si>
  <si>
    <t>RES 100K OHM 1/10W 1% 0603 SMD</t>
  </si>
  <si>
    <t>ERJ-3EKF5622V</t>
  </si>
  <si>
    <t>RES 56.2K OHM 1/10W 1% 0603 SMD</t>
  </si>
  <si>
    <t>RC0603FR-0749K9L</t>
  </si>
  <si>
    <t>RES 49.9K OHM 1/10W 1% 0603 SMD</t>
  </si>
  <si>
    <t>ERJ-3EKF4702V</t>
  </si>
  <si>
    <t>RES 47K OHM 1/10W 1% 0603 SMD</t>
  </si>
  <si>
    <t>ERJ-3EKF3002V</t>
  </si>
  <si>
    <t>RES 30K OHM 1/10W 1% 0603 SMD</t>
  </si>
  <si>
    <t>RC0603FR-0715K8L</t>
  </si>
  <si>
    <t>RES 15.8K OHM 1/10W 1% 0603 SMD</t>
  </si>
  <si>
    <t>ERJ-3EKF1502V</t>
  </si>
  <si>
    <t>RES 15K OHM 1/10W 1% 0603 SMD</t>
  </si>
  <si>
    <t>ERJ-3EKF1202V</t>
  </si>
  <si>
    <t>RES 12K OHM 1/10W 1% 0603 SMD</t>
  </si>
  <si>
    <t>ERJ-3EKF1002V</t>
  </si>
  <si>
    <t>RES 10K OHM 1/10W 1% 0603 SMD</t>
  </si>
  <si>
    <t>ERJ-3EKF6801V</t>
  </si>
  <si>
    <t>RES 6.8K OHM 1/10W 1% 0603 SMD</t>
  </si>
  <si>
    <t>RC0603FR-074K7L</t>
  </si>
  <si>
    <t>RES 4.70K OHM 1/10W 1% 0603 SMD</t>
  </si>
  <si>
    <t>ERJ-3EKF2001V</t>
  </si>
  <si>
    <t>RES 2K OHM 1/10W 1% 0603 SMD</t>
  </si>
  <si>
    <t>ERJ-3EKF1001V</t>
  </si>
  <si>
    <t>RES 1K OHM 1/10W 1% 0603 SMD</t>
  </si>
  <si>
    <t>RC0603FR-07680RL</t>
  </si>
  <si>
    <t>RES 680 OHM 1/10W 1% 0603 SMD</t>
  </si>
  <si>
    <t>ERJ-3GEYJ331V</t>
  </si>
  <si>
    <t>RES 330 OHM 1/10W 5% 0603 SMD</t>
  </si>
  <si>
    <t>ERJ-3EKF2700V</t>
  </si>
  <si>
    <t>RES 270 OHM 1/10W 1% 0603 SMD</t>
  </si>
  <si>
    <t>RC0603FR-07220RL</t>
  </si>
  <si>
    <t>RES 220 OHM 1/10W 1% 0603 SMD</t>
  </si>
  <si>
    <t>ERJ-3EKF1000V</t>
  </si>
  <si>
    <t>RES 100 OHM 1/10W 1% 0603 SMD</t>
  </si>
  <si>
    <t>ERJ-14NF49R9U</t>
  </si>
  <si>
    <t>RC0603JR-0739RL</t>
  </si>
  <si>
    <t>RES 39 OHM 1/10W 5% 0603 SMD</t>
  </si>
  <si>
    <t>RC0603FR-0710RL</t>
  </si>
  <si>
    <t>RES 10.0 OHM 1/10W 1% 0603 SMD</t>
  </si>
  <si>
    <t>ERJ-6BWFR030V</t>
  </si>
  <si>
    <t>RES 0.03 OHM 1/2W 1% 0805 SMD</t>
  </si>
  <si>
    <t>R53 R76 R112</t>
  </si>
  <si>
    <t>http://www.digikey.com/product-detail/en/ERJ-3EKF9531V/P9.53KHCT-ND/198543</t>
  </si>
  <si>
    <t>R77</t>
  </si>
  <si>
    <t>ERJ-3EKF9531V</t>
  </si>
  <si>
    <t>RES 9.53K OHM 1/10W 1% 0603 SMD</t>
  </si>
  <si>
    <t>R12 R26 R43 R65 R91 R120 R121 R122 R123</t>
  </si>
  <si>
    <t>http://www.digikey.com/product-detail/en/EMK212BJ106KG-T/587-1295-1-ND/931072</t>
  </si>
  <si>
    <t>C88 C89</t>
  </si>
  <si>
    <t>FB1 FB2 FB3 FB4 FB5 FB10 FB6 FB11 FB7 FB8 FB9 FB12 FB13 FB14 FB15 FB16</t>
  </si>
  <si>
    <t>C7 C8 C9 C10 C11 C14 C17 C21 C24 C25 C26 C29 C30 C32 C33 C34 C35 C36 C38 C39 C40 C41 C42 C43 C44 C46 C49 C50 C51 C61 C63 C64 C66 C67 C68 C69 C70 C73 C75 C76 C79 C80 C81 C84 C86 C90 C139 C140 C141 C142 C148 C15 C92 C16 C93 C20 C94 C56 C97 C57 C98 C58 C99 C59 C100 C60 C101 C106 C108 C110 C112 C114 C116 C118 C120 C122 C124 C126 C128 C130 C132 C134 C136 C151 C152 C153 C154</t>
  </si>
  <si>
    <t>TVS DIODE 5.25VWM 17VC SOT236</t>
  </si>
  <si>
    <t>EMK212BJ106KG-T</t>
  </si>
  <si>
    <t>CAP CER 10UF 16V 10% X5R 0805</t>
  </si>
  <si>
    <t>TVS DIODE 12VWM 19.9VC SMA</t>
  </si>
  <si>
    <t>TVS DIODE 3.3VWM 10.3VC SMB</t>
  </si>
  <si>
    <t>http://www.digikey.com/product-detail/en/LTST-C190KGKT/160-1435-1-ND/386814</t>
  </si>
  <si>
    <t>D5 D10</t>
  </si>
  <si>
    <t>http://www.digikey.com/product-detail/en/RC0603FR-07750RL/311-750HRCT-ND/730326</t>
  </si>
  <si>
    <t>R97 R99 R101 R103</t>
  </si>
  <si>
    <t>http://www.digikey.com/product-detail/en/ERJ-3EKF1301V/P1.30KHCT-ND/198082</t>
  </si>
  <si>
    <t>R93 R94 R95 R96</t>
  </si>
  <si>
    <t>http://www.digikey.com/product-detail/en/ERJ-3EKF3901V/P3.90KHCT-ND/1746772</t>
  </si>
  <si>
    <t>R98 R100 R102 R104</t>
  </si>
  <si>
    <t>Lite-On Inc</t>
  </si>
  <si>
    <t>LTST-C190KGKT</t>
  </si>
  <si>
    <t>LED GREEN CLEAR 0603 SMD</t>
  </si>
  <si>
    <t>TVS DIODE 5VWM 25VC SC75</t>
  </si>
  <si>
    <t>ERJ-3EKF3901V</t>
  </si>
  <si>
    <t>RES 3.9K OHM 1/10W 1% 0603 SMD</t>
  </si>
  <si>
    <t>ERJ-3EKF1301V</t>
  </si>
  <si>
    <t>RES 1.3K OHM 1/10W 1% 0603 SMD</t>
  </si>
  <si>
    <t>RC0603FR-07750RL</t>
  </si>
  <si>
    <t>RES 750 OHM 1/10W 1% 0603 SMD</t>
  </si>
  <si>
    <t>R5 R107 R108 R109 R110 R124 R125</t>
  </si>
  <si>
    <t>DO NOT POPULATE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</si>
</sst>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s>
  <fills count="5">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FFA5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50">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3" fillId="0" borderId="6" xfId="1" applyFont="1" applyBorder="1" applyAlignment="1">
      <alignment horizontal="center" vertical="center" wrapText="1"/>
    </xf>
    <xf numFmtId="0" fontId="3" fillId="0" borderId="7" xfId="1" applyFont="1" applyBorder="1" applyAlignment="1">
      <alignment horizontal="center" vertical="center" wrapText="1"/>
    </xf>
    <xf numFmtId="0" fontId="3" fillId="0" borderId="8" xfId="1" applyFont="1" applyBorder="1" applyAlignment="1">
      <alignment horizontal="center" vertical="center" wrapText="1"/>
    </xf>
    <xf numFmtId="0" fontId="7" fillId="2" borderId="1" xfId="1" applyFont="1" applyFill="1" applyBorder="1" applyAlignment="1">
      <alignment horizontal="center" vertical="center"/>
    </xf>
    <xf numFmtId="0" fontId="7" fillId="2" borderId="1" xfId="1" applyFont="1" applyFill="1" applyBorder="1" applyAlignment="1">
      <alignment horizontal="center" vertical="center" wrapText="1"/>
    </xf>
    <xf numFmtId="0" fontId="6" fillId="2" borderId="2" xfId="1" applyFont="1" applyFill="1" applyBorder="1" applyAlignment="1">
      <alignment horizontal="center" vertical="center" wrapText="1"/>
    </xf>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4" fillId="2" borderId="3" xfId="2" applyFill="1" applyBorder="1" applyAlignment="1" applyProtection="1">
      <alignment horizontal="center" vertical="center"/>
    </xf>
    <xf numFmtId="0" fontId="8" fillId="2" borderId="5" xfId="2" applyFont="1" applyFill="1" applyBorder="1" applyAlignment="1" applyProtection="1">
      <alignment horizontal="center"/>
    </xf>
    <xf numFmtId="0" fontId="6" fillId="2" borderId="9" xfId="1" applyFont="1" applyFill="1" applyBorder="1" applyAlignment="1">
      <alignment horizontal="center" vertical="center" wrapText="1"/>
    </xf>
    <xf numFmtId="0" fontId="7" fillId="2" borderId="11" xfId="1" applyFont="1" applyFill="1" applyBorder="1" applyAlignment="1">
      <alignment horizontal="center" vertical="center"/>
    </xf>
    <xf numFmtId="0" fontId="7" fillId="2" borderId="11" xfId="1" applyFont="1" applyFill="1" applyBorder="1" applyAlignment="1">
      <alignment horizontal="center" vertical="center" wrapText="1"/>
    </xf>
    <xf numFmtId="0" fontId="9" fillId="0" borderId="13" xfId="0" applyFont="1" applyBorder="1" applyAlignment="1">
      <alignment horizontal="center"/>
    </xf>
    <xf numFmtId="0" fontId="9" fillId="0" borderId="12" xfId="0" applyFont="1" applyBorder="1" applyAlignment="1">
      <alignment horizontal="center"/>
    </xf>
    <xf numFmtId="0" fontId="7" fillId="2" borderId="1" xfId="0" applyFont="1" applyFill="1" applyBorder="1" applyAlignment="1">
      <alignment horizontal="center" vertical="center" wrapText="1"/>
    </xf>
    <xf numFmtId="0" fontId="9" fillId="0" borderId="2" xfId="0" applyFont="1" applyBorder="1" applyAlignment="1">
      <alignment horizontal="center"/>
    </xf>
    <xf numFmtId="0" fontId="9" fillId="0" borderId="9" xfId="0" applyFont="1" applyBorder="1" applyAlignment="1">
      <alignment horizontal="center"/>
    </xf>
    <xf numFmtId="0" fontId="7" fillId="0" borderId="1" xfId="0" applyFont="1" applyBorder="1" applyAlignment="1">
      <alignment horizontal="center" vertical="center"/>
    </xf>
    <xf numFmtId="0" fontId="7" fillId="0" borderId="4"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3" fillId="0" borderId="14" xfId="1" applyFont="1" applyBorder="1" applyAlignment="1">
      <alignment horizontal="center" vertical="center" wrapText="1"/>
    </xf>
    <xf numFmtId="0" fontId="6" fillId="2" borderId="15" xfId="1" applyFont="1" applyFill="1" applyBorder="1" applyAlignment="1">
      <alignment horizontal="center" vertical="center" wrapText="1"/>
    </xf>
    <xf numFmtId="0" fontId="6" fillId="2" borderId="16" xfId="1" applyFont="1" applyFill="1" applyBorder="1" applyAlignment="1">
      <alignment horizontal="center" vertical="center" wrapText="1"/>
    </xf>
    <xf numFmtId="0" fontId="6" fillId="2" borderId="17"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10" fillId="0" borderId="0" xfId="0" applyFont="1" applyBorder="1" applyAlignment="1">
      <alignment horizontal="center" vertical="center"/>
    </xf>
    <xf numFmtId="0" fontId="9" fillId="2" borderId="2" xfId="1" applyFont="1" applyFill="1" applyBorder="1" applyAlignment="1">
      <alignment horizontal="center" vertical="center" wrapText="1"/>
    </xf>
    <xf numFmtId="0" fontId="9" fillId="2" borderId="18" xfId="1" applyFont="1" applyFill="1" applyBorder="1" applyAlignment="1">
      <alignment horizontal="center" vertical="center" wrapText="1"/>
    </xf>
    <xf numFmtId="0" fontId="7" fillId="2" borderId="19" xfId="0" applyFont="1" applyFill="1" applyBorder="1" applyAlignment="1">
      <alignment horizontal="center"/>
    </xf>
    <xf numFmtId="0" fontId="10" fillId="2" borderId="20" xfId="0" applyFont="1" applyFill="1" applyBorder="1" applyAlignment="1">
      <alignment horizontal="center"/>
    </xf>
    <xf numFmtId="3" fontId="7" fillId="2" borderId="1" xfId="1" applyNumberFormat="1" applyFont="1" applyFill="1" applyBorder="1" applyAlignment="1">
      <alignment horizontal="center" vertical="center" wrapText="1"/>
    </xf>
    <xf numFmtId="0" fontId="7" fillId="3" borderId="11" xfId="1" applyFont="1" applyFill="1" applyBorder="1" applyAlignment="1">
      <alignment horizontal="center" vertical="center"/>
    </xf>
    <xf numFmtId="3" fontId="7" fillId="2" borderId="11" xfId="1" applyNumberFormat="1" applyFont="1" applyFill="1" applyBorder="1" applyAlignment="1">
      <alignment horizontal="center" vertical="center" wrapText="1"/>
    </xf>
    <xf numFmtId="0" fontId="7" fillId="4" borderId="11" xfId="1" applyFont="1" applyFill="1" applyBorder="1" applyAlignment="1">
      <alignment horizontal="center" vertical="center"/>
    </xf>
    <xf numFmtId="0" fontId="4" fillId="0" borderId="10" xfId="2" applyBorder="1" applyAlignment="1" applyProtection="1">
      <alignment horizontal="center" vertical="center"/>
    </xf>
    <xf numFmtId="3" fontId="7" fillId="4" borderId="11" xfId="1" applyNumberFormat="1" applyFont="1" applyFill="1" applyBorder="1" applyAlignment="1">
      <alignment horizontal="center" vertical="center"/>
    </xf>
    <xf numFmtId="0" fontId="7" fillId="3" borderId="1" xfId="1" applyFont="1" applyFill="1" applyBorder="1" applyAlignment="1">
      <alignment horizontal="center" vertic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1076325</xdr:colOff>
          <xdr:row>2</xdr:row>
          <xdr:rowOff>95250</xdr:rowOff>
        </xdr:from>
        <xdr:to>
          <xdr:col>7</xdr:col>
          <xdr:colOff>457200</xdr:colOff>
          <xdr:row>4</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676275</xdr:colOff>
          <xdr:row>2</xdr:row>
          <xdr:rowOff>95250</xdr:rowOff>
        </xdr:from>
        <xdr:to>
          <xdr:col>9</xdr:col>
          <xdr:colOff>1047750</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2</xdr:row>
          <xdr:rowOff>95250</xdr:rowOff>
        </xdr:from>
        <xdr:to>
          <xdr:col>12</xdr:col>
          <xdr:colOff>4352925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1247775</xdr:colOff>
          <xdr:row>2</xdr:row>
          <xdr:rowOff>95250</xdr:rowOff>
        </xdr:from>
        <xdr:to>
          <xdr:col>12</xdr:col>
          <xdr:colOff>409575</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digikey.com/product-detail/en/MAX1685EEE%2B/MAX1685EEE%2B-ND/947774" TargetMode="External"/><Relationship Id="rId13" Type="http://schemas.openxmlformats.org/officeDocument/2006/relationships/hyperlink" Target="http://www.digikey.com/product-detail/en/LTST-C190KGKT/160-1435-1-ND/386814" TargetMode="External"/><Relationship Id="rId18" Type="http://schemas.openxmlformats.org/officeDocument/2006/relationships/drawing" Target="../drawings/drawing1.xml"/><Relationship Id="rId3" Type="http://schemas.openxmlformats.org/officeDocument/2006/relationships/hyperlink" Target="http://www.digikey.com/product-detail/en/DAC108S085CIMT%2FNOPB/DAC108S085CIMT-ND/1658142" TargetMode="External"/><Relationship Id="rId21" Type="http://schemas.openxmlformats.org/officeDocument/2006/relationships/ctrlProp" Target="../ctrlProps/ctrlProp2.xml"/><Relationship Id="rId7" Type="http://schemas.openxmlformats.org/officeDocument/2006/relationships/hyperlink" Target="http://www.digikey.com/product-detail/en/ATSAM3U4CA-AU/ATSAM3U4CA-AU-ND/2177035" TargetMode="External"/><Relationship Id="rId12" Type="http://schemas.openxmlformats.org/officeDocument/2006/relationships/hyperlink" Target="http://www.digikey.com/product-detail/en/CLV1A-FKB-CJ1M1F1BB7R4S3/CLV1A-FKB-CJ1M1F1BB7R4S3CT-ND/1987488" TargetMode="External"/><Relationship Id="rId17" Type="http://schemas.openxmlformats.org/officeDocument/2006/relationships/printerSettings" Target="../printerSettings/printerSettings1.bin"/><Relationship Id="rId2" Type="http://schemas.openxmlformats.org/officeDocument/2006/relationships/hyperlink" Target="http://www.digikey.com/product-detail/en/MPMT5002AT1/MPMT-25K%2F25KCT-ND/1771077" TargetMode="External"/><Relationship Id="rId16" Type="http://schemas.openxmlformats.org/officeDocument/2006/relationships/hyperlink" Target="http://www.digikey.com/product-detail/en/ERJ-3EKF3901V/P3.90KHCT-ND/1746772" TargetMode="External"/><Relationship Id="rId20" Type="http://schemas.openxmlformats.org/officeDocument/2006/relationships/ctrlProp" Target="../ctrlProps/ctrlProp1.xml"/><Relationship Id="rId1" Type="http://schemas.openxmlformats.org/officeDocument/2006/relationships/hyperlink" Target="http://www.digikey.com/product-detail/en/LM2940IMP-10%2FNOPB/LM2940IMP-10CT-ND/363885" TargetMode="External"/><Relationship Id="rId6" Type="http://schemas.openxmlformats.org/officeDocument/2006/relationships/hyperlink" Target="http://www.digikey.com/product-detail/en/CRCW2512100RFKEG/541-100AFCT-ND/1178705" TargetMode="External"/><Relationship Id="rId11" Type="http://schemas.openxmlformats.org/officeDocument/2006/relationships/hyperlink" Target="http://www.digikey.com/product-detail/en/EMK212BJ106KG-T/587-1295-1-ND/931072" TargetMode="External"/><Relationship Id="rId5" Type="http://schemas.openxmlformats.org/officeDocument/2006/relationships/hyperlink" Target="http://www.digikey.com/product-detail/en/CRCW121049R9FKEA/541-49.9AACT-ND/1182399" TargetMode="External"/><Relationship Id="rId15" Type="http://schemas.openxmlformats.org/officeDocument/2006/relationships/hyperlink" Target="http://www.digikey.com/product-detail/en/ERJ-3EKF1301V/P1.30KHCT-ND/198082" TargetMode="External"/><Relationship Id="rId23" Type="http://schemas.openxmlformats.org/officeDocument/2006/relationships/ctrlProp" Target="../ctrlProps/ctrlProp4.xml"/><Relationship Id="rId10" Type="http://schemas.openxmlformats.org/officeDocument/2006/relationships/hyperlink" Target="http://www.digikey.com/product-detail/en/ERJ-3EKF9531V/P9.53KHCT-ND/198543" TargetMode="External"/><Relationship Id="rId19" Type="http://schemas.openxmlformats.org/officeDocument/2006/relationships/vmlDrawing" Target="../drawings/vmlDrawing1.vml"/><Relationship Id="rId4" Type="http://schemas.openxmlformats.org/officeDocument/2006/relationships/hyperlink" Target="http://www.digikey.com/product-detail/en/ADA4051-1AKSZ-R7/ADA4051-1AKSZ-R7CT-ND/2264661" TargetMode="External"/><Relationship Id="rId9" Type="http://schemas.openxmlformats.org/officeDocument/2006/relationships/hyperlink" Target="http://www.digikey.com/product-detail/en/MAX5925DEUB%2B/MAX5925DEUB%2B-ND/1937487" TargetMode="External"/><Relationship Id="rId14" Type="http://schemas.openxmlformats.org/officeDocument/2006/relationships/hyperlink" Target="http://www.digikey.com/product-detail/en/RC0603FR-07750RL/311-750HRCT-ND/730326" TargetMode="External"/><Relationship Id="rId22"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O99"/>
  <sheetViews>
    <sheetView tabSelected="1" topLeftCell="A79" zoomScaleNormal="100" workbookViewId="0">
      <selection activeCell="D91" sqref="D91"/>
    </sheetView>
  </sheetViews>
  <sheetFormatPr baseColWidth="10" defaultRowHeight="15" x14ac:dyDescent="0.25"/>
  <cols>
    <col min="1" max="1" width="1.85546875" customWidth="1"/>
    <col min="2" max="2" width="5.140625" customWidth="1"/>
    <col min="3" max="3" width="41" customWidth="1"/>
    <col min="4" max="4" width="5.85546875" customWidth="1"/>
    <col min="5" max="5" width="10.7109375" customWidth="1"/>
    <col min="6" max="6" width="10.85546875" bestFit="1" customWidth="1"/>
    <col min="7" max="7" width="11.85546875" bestFit="1" customWidth="1"/>
    <col min="8" max="8" width="13.28515625" bestFit="1" customWidth="1"/>
    <col min="9" max="9" width="36.5703125" customWidth="1"/>
    <col min="10" max="10" width="23.42578125" customWidth="1"/>
    <col min="11" max="11" width="28.42578125" customWidth="1"/>
    <col min="12" max="12" width="16.140625" customWidth="1"/>
    <col min="13" max="13" width="108" bestFit="1" customWidth="1"/>
  </cols>
  <sheetData>
    <row r="2" spans="1:15" ht="28.5" x14ac:dyDescent="0.35">
      <c r="B2" s="49" t="s">
        <v>36</v>
      </c>
      <c r="C2" s="49"/>
      <c r="D2" s="49"/>
      <c r="E2" s="49"/>
      <c r="F2" s="49"/>
      <c r="G2" s="49"/>
      <c r="H2" s="49"/>
      <c r="I2" s="49"/>
      <c r="J2" s="49"/>
      <c r="K2" s="49"/>
      <c r="L2" s="49"/>
      <c r="M2" s="49"/>
      <c r="N2" s="1"/>
      <c r="O2" s="1"/>
    </row>
    <row r="3" spans="1:15" x14ac:dyDescent="0.25">
      <c r="B3" s="2"/>
      <c r="C3" s="2"/>
      <c r="D3" s="2"/>
      <c r="E3" s="2"/>
      <c r="F3" s="2"/>
      <c r="G3" s="2"/>
      <c r="H3" s="2"/>
      <c r="I3" s="2"/>
      <c r="J3" s="2"/>
      <c r="K3" s="2"/>
      <c r="L3" s="2"/>
      <c r="M3" s="2"/>
    </row>
    <row r="4" spans="1:15" x14ac:dyDescent="0.25">
      <c r="B4" s="2"/>
      <c r="C4" s="2"/>
      <c r="D4" s="2"/>
      <c r="E4" s="2"/>
      <c r="F4" s="2"/>
      <c r="G4" s="2"/>
      <c r="H4" s="2"/>
      <c r="I4" s="2"/>
      <c r="J4" s="2"/>
      <c r="K4" s="2"/>
      <c r="L4" s="2"/>
      <c r="M4" s="2"/>
    </row>
    <row r="5" spans="1:15" x14ac:dyDescent="0.25">
      <c r="B5" s="2"/>
      <c r="C5" s="2"/>
      <c r="D5" s="2"/>
      <c r="E5" s="2"/>
      <c r="F5" s="2"/>
      <c r="G5" s="2"/>
      <c r="H5" s="2"/>
      <c r="I5" s="2"/>
      <c r="J5" s="2"/>
      <c r="K5" s="2"/>
      <c r="L5" s="2"/>
      <c r="M5" s="2"/>
    </row>
    <row r="6" spans="1:15" ht="15.75" thickBot="1" x14ac:dyDescent="0.3">
      <c r="B6" s="2"/>
      <c r="C6" s="2"/>
      <c r="D6" s="2"/>
      <c r="E6" s="2"/>
      <c r="F6" s="2"/>
      <c r="G6" s="2"/>
      <c r="H6" s="2"/>
      <c r="I6" s="2"/>
      <c r="J6" s="2"/>
      <c r="K6" s="2"/>
      <c r="L6" s="2"/>
      <c r="M6" s="2"/>
    </row>
    <row r="7" spans="1:15" ht="15.75" thickBot="1" x14ac:dyDescent="0.3">
      <c r="B7" s="2"/>
      <c r="C7" s="18" t="s">
        <v>11</v>
      </c>
      <c r="D7" s="19">
        <v>10</v>
      </c>
      <c r="E7" s="2"/>
      <c r="F7" s="2"/>
      <c r="G7" s="2"/>
      <c r="H7" s="2"/>
      <c r="I7" s="2"/>
      <c r="J7" s="2"/>
      <c r="K7" s="2"/>
      <c r="L7" s="2"/>
      <c r="M7" s="2"/>
    </row>
    <row r="8" spans="1:15" ht="19.5" customHeight="1" x14ac:dyDescent="0.25">
      <c r="B8" s="31" t="s">
        <v>0</v>
      </c>
      <c r="C8" s="5" t="s">
        <v>10</v>
      </c>
      <c r="D8" s="6" t="s">
        <v>1</v>
      </c>
      <c r="E8" s="6" t="s">
        <v>13</v>
      </c>
      <c r="F8" s="6" t="s">
        <v>34</v>
      </c>
      <c r="G8" s="6" t="s">
        <v>33</v>
      </c>
      <c r="H8" s="6" t="s">
        <v>35</v>
      </c>
      <c r="I8" s="6" t="s">
        <v>2</v>
      </c>
      <c r="J8" s="6" t="s">
        <v>3</v>
      </c>
      <c r="K8" s="6" t="s">
        <v>4</v>
      </c>
      <c r="L8" s="6" t="s">
        <v>6</v>
      </c>
      <c r="M8" s="7" t="s">
        <v>5</v>
      </c>
    </row>
    <row r="9" spans="1:15" x14ac:dyDescent="0.25">
      <c r="A9" s="4"/>
      <c r="B9" s="32">
        <v>1</v>
      </c>
      <c r="C9" s="10" t="s">
        <v>147</v>
      </c>
      <c r="D9" s="8">
        <v>1</v>
      </c>
      <c r="E9" s="9">
        <v>4.6449999999999996</v>
      </c>
      <c r="F9" s="8">
        <f t="shared" ref="F9:F40" si="0">D9*E9</f>
        <v>4.6449999999999996</v>
      </c>
      <c r="G9" s="48">
        <v>0</v>
      </c>
      <c r="H9" s="9">
        <v>81</v>
      </c>
      <c r="I9" s="9" t="s">
        <v>22</v>
      </c>
      <c r="J9" s="9" t="s">
        <v>110</v>
      </c>
      <c r="K9" s="8" t="s">
        <v>20</v>
      </c>
      <c r="L9" s="9" t="s">
        <v>23</v>
      </c>
      <c r="M9" s="13" t="s">
        <v>37</v>
      </c>
    </row>
    <row r="10" spans="1:15" x14ac:dyDescent="0.25">
      <c r="A10" s="4"/>
      <c r="B10" s="32">
        <v>2</v>
      </c>
      <c r="C10" s="10" t="s">
        <v>8</v>
      </c>
      <c r="D10" s="8">
        <v>1</v>
      </c>
      <c r="E10" s="9">
        <v>7.5720000000000001</v>
      </c>
      <c r="F10" s="8">
        <f t="shared" si="0"/>
        <v>7.5720000000000001</v>
      </c>
      <c r="G10" s="48">
        <v>0</v>
      </c>
      <c r="H10" s="42">
        <v>100</v>
      </c>
      <c r="I10" s="9" t="s">
        <v>22</v>
      </c>
      <c r="J10" s="20" t="s">
        <v>21</v>
      </c>
      <c r="K10" s="9" t="s">
        <v>20</v>
      </c>
      <c r="L10" s="9" t="s">
        <v>23</v>
      </c>
      <c r="M10" s="13" t="s">
        <v>7</v>
      </c>
    </row>
    <row r="11" spans="1:15" x14ac:dyDescent="0.25">
      <c r="A11" s="4"/>
      <c r="B11" s="32">
        <v>3</v>
      </c>
      <c r="C11" s="10" t="s">
        <v>148</v>
      </c>
      <c r="D11" s="8">
        <v>1</v>
      </c>
      <c r="E11" s="9">
        <v>0.38</v>
      </c>
      <c r="F11" s="8">
        <f t="shared" si="0"/>
        <v>0.38</v>
      </c>
      <c r="G11" s="48">
        <v>0</v>
      </c>
      <c r="H11" s="42">
        <v>6625</v>
      </c>
      <c r="I11" s="9" t="s">
        <v>113</v>
      </c>
      <c r="J11" s="9" t="s">
        <v>112</v>
      </c>
      <c r="K11" s="8" t="s">
        <v>111</v>
      </c>
      <c r="L11" s="9" t="s">
        <v>114</v>
      </c>
      <c r="M11" s="13" t="s">
        <v>38</v>
      </c>
    </row>
    <row r="12" spans="1:15" x14ac:dyDescent="0.25">
      <c r="A12" s="4"/>
      <c r="B12" s="32">
        <v>4</v>
      </c>
      <c r="C12" s="34" t="s">
        <v>149</v>
      </c>
      <c r="D12" s="16">
        <v>1</v>
      </c>
      <c r="E12" s="17">
        <v>0.83899999999999997</v>
      </c>
      <c r="F12" s="8">
        <f t="shared" si="0"/>
        <v>0.83899999999999997</v>
      </c>
      <c r="G12" s="43">
        <v>0</v>
      </c>
      <c r="H12" s="44">
        <v>4805</v>
      </c>
      <c r="I12" s="17" t="s">
        <v>377</v>
      </c>
      <c r="J12" s="17" t="s">
        <v>116</v>
      </c>
      <c r="K12" s="16" t="s">
        <v>115</v>
      </c>
      <c r="L12" s="17" t="s">
        <v>117</v>
      </c>
      <c r="M12" s="13" t="s">
        <v>39</v>
      </c>
    </row>
    <row r="13" spans="1:15" x14ac:dyDescent="0.25">
      <c r="A13" s="4"/>
      <c r="B13" s="32">
        <v>5</v>
      </c>
      <c r="C13" s="34" t="s">
        <v>150</v>
      </c>
      <c r="D13" s="16">
        <v>1</v>
      </c>
      <c r="E13" s="17">
        <v>2.851</v>
      </c>
      <c r="F13" s="8">
        <f t="shared" si="0"/>
        <v>2.851</v>
      </c>
      <c r="G13" s="43">
        <v>0</v>
      </c>
      <c r="H13" s="44">
        <v>9995</v>
      </c>
      <c r="I13" s="17" t="s">
        <v>119</v>
      </c>
      <c r="J13" s="17" t="s">
        <v>118</v>
      </c>
      <c r="K13" s="16" t="s">
        <v>30</v>
      </c>
      <c r="L13" s="17" t="s">
        <v>120</v>
      </c>
      <c r="M13" s="13" t="s">
        <v>40</v>
      </c>
    </row>
    <row r="14" spans="1:15" x14ac:dyDescent="0.25">
      <c r="A14" s="4"/>
      <c r="B14" s="32">
        <v>6</v>
      </c>
      <c r="C14" s="34" t="s">
        <v>151</v>
      </c>
      <c r="D14" s="16">
        <v>3</v>
      </c>
      <c r="E14" s="17">
        <v>0.54239999999999999</v>
      </c>
      <c r="F14" s="8">
        <f t="shared" si="0"/>
        <v>1.6272</v>
      </c>
      <c r="G14" s="43">
        <v>0</v>
      </c>
      <c r="H14" s="44">
        <v>4263</v>
      </c>
      <c r="I14" s="17" t="s">
        <v>123</v>
      </c>
      <c r="J14" s="17" t="s">
        <v>122</v>
      </c>
      <c r="K14" s="16" t="s">
        <v>121</v>
      </c>
      <c r="L14" s="17" t="s">
        <v>117</v>
      </c>
      <c r="M14" s="13" t="s">
        <v>41</v>
      </c>
    </row>
    <row r="15" spans="1:15" x14ac:dyDescent="0.25">
      <c r="A15" s="4"/>
      <c r="B15" s="32">
        <v>7</v>
      </c>
      <c r="C15" s="34" t="s">
        <v>9</v>
      </c>
      <c r="D15" s="16">
        <v>1</v>
      </c>
      <c r="E15" s="17">
        <v>13.51</v>
      </c>
      <c r="F15" s="8">
        <f t="shared" si="0"/>
        <v>13.51</v>
      </c>
      <c r="G15" s="43">
        <v>0</v>
      </c>
      <c r="H15" s="44">
        <v>2159</v>
      </c>
      <c r="I15" s="17" t="s">
        <v>125</v>
      </c>
      <c r="J15" s="17" t="s">
        <v>124</v>
      </c>
      <c r="K15" s="16" t="s">
        <v>24</v>
      </c>
      <c r="L15" s="17" t="s">
        <v>126</v>
      </c>
      <c r="M15" s="46" t="s">
        <v>42</v>
      </c>
    </row>
    <row r="16" spans="1:15" ht="22.5" x14ac:dyDescent="0.25">
      <c r="A16" s="4"/>
      <c r="B16" s="32">
        <v>8</v>
      </c>
      <c r="C16" s="34" t="s">
        <v>152</v>
      </c>
      <c r="D16" s="16">
        <v>4</v>
      </c>
      <c r="E16" s="17">
        <v>0.46920000000000001</v>
      </c>
      <c r="F16" s="8">
        <f t="shared" si="0"/>
        <v>1.8768</v>
      </c>
      <c r="G16" s="43">
        <v>0</v>
      </c>
      <c r="H16" s="44">
        <v>0</v>
      </c>
      <c r="I16" s="17" t="s">
        <v>128</v>
      </c>
      <c r="J16" s="17" t="s">
        <v>127</v>
      </c>
      <c r="K16" s="16" t="s">
        <v>30</v>
      </c>
      <c r="L16" s="17" t="s">
        <v>129</v>
      </c>
      <c r="M16" s="13" t="s">
        <v>43</v>
      </c>
    </row>
    <row r="17" spans="1:13" x14ac:dyDescent="0.25">
      <c r="A17" s="4"/>
      <c r="B17" s="32">
        <v>9</v>
      </c>
      <c r="C17" s="34" t="s">
        <v>153</v>
      </c>
      <c r="D17" s="16">
        <v>1</v>
      </c>
      <c r="E17" s="17">
        <v>3.7749999999999999</v>
      </c>
      <c r="F17" s="8">
        <f t="shared" si="0"/>
        <v>3.7749999999999999</v>
      </c>
      <c r="G17" s="43">
        <v>0</v>
      </c>
      <c r="H17" s="44">
        <v>13682</v>
      </c>
      <c r="I17" s="17" t="s">
        <v>131</v>
      </c>
      <c r="J17" s="17" t="s">
        <v>130</v>
      </c>
      <c r="K17" s="16" t="s">
        <v>30</v>
      </c>
      <c r="L17" s="17" t="s">
        <v>132</v>
      </c>
      <c r="M17" s="13" t="s">
        <v>44</v>
      </c>
    </row>
    <row r="18" spans="1:13" x14ac:dyDescent="0.25">
      <c r="A18" s="4"/>
      <c r="B18" s="32">
        <v>10</v>
      </c>
      <c r="C18" s="34" t="s">
        <v>154</v>
      </c>
      <c r="D18" s="16">
        <v>1</v>
      </c>
      <c r="E18" s="17">
        <v>0.189</v>
      </c>
      <c r="F18" s="8">
        <f t="shared" si="0"/>
        <v>0.189</v>
      </c>
      <c r="G18" s="43">
        <v>0</v>
      </c>
      <c r="H18" s="44">
        <v>29796</v>
      </c>
      <c r="I18" s="17" t="s">
        <v>135</v>
      </c>
      <c r="J18" s="17" t="s">
        <v>134</v>
      </c>
      <c r="K18" s="16" t="s">
        <v>133</v>
      </c>
      <c r="L18" s="17"/>
      <c r="M18" s="13" t="s">
        <v>45</v>
      </c>
    </row>
    <row r="19" spans="1:13" x14ac:dyDescent="0.25">
      <c r="A19" s="4"/>
      <c r="B19" s="32">
        <v>11</v>
      </c>
      <c r="C19" s="34" t="s">
        <v>155</v>
      </c>
      <c r="D19" s="16"/>
      <c r="E19" s="17"/>
      <c r="F19" s="8"/>
      <c r="G19" s="43"/>
      <c r="H19" s="44"/>
      <c r="I19" s="17" t="s">
        <v>401</v>
      </c>
      <c r="J19" s="17"/>
      <c r="K19" s="16"/>
      <c r="L19" s="17"/>
      <c r="M19" s="13"/>
    </row>
    <row r="20" spans="1:13" x14ac:dyDescent="0.25">
      <c r="A20" s="4"/>
      <c r="B20" s="32">
        <v>12</v>
      </c>
      <c r="C20" s="34" t="s">
        <v>156</v>
      </c>
      <c r="D20" s="16">
        <v>1</v>
      </c>
      <c r="E20" s="17">
        <v>3.48</v>
      </c>
      <c r="F20" s="8">
        <f t="shared" si="0"/>
        <v>3.48</v>
      </c>
      <c r="G20" s="43">
        <v>0</v>
      </c>
      <c r="H20" s="44"/>
      <c r="I20" s="17" t="s">
        <v>137</v>
      </c>
      <c r="J20" s="17" t="s">
        <v>136</v>
      </c>
      <c r="K20" s="16" t="s">
        <v>133</v>
      </c>
      <c r="L20" s="17"/>
      <c r="M20" s="13" t="s">
        <v>46</v>
      </c>
    </row>
    <row r="21" spans="1:13" x14ac:dyDescent="0.25">
      <c r="A21" s="4"/>
      <c r="B21" s="32">
        <v>13</v>
      </c>
      <c r="C21" s="34" t="s">
        <v>157</v>
      </c>
      <c r="D21" s="16"/>
      <c r="E21" s="17"/>
      <c r="F21" s="8"/>
      <c r="G21" s="43"/>
      <c r="H21" s="44"/>
      <c r="I21" s="17" t="s">
        <v>401</v>
      </c>
      <c r="J21" s="17"/>
      <c r="K21" s="16"/>
      <c r="L21" s="17"/>
      <c r="M21" s="13"/>
    </row>
    <row r="22" spans="1:13" x14ac:dyDescent="0.25">
      <c r="A22" s="4"/>
      <c r="B22" s="32">
        <v>14</v>
      </c>
      <c r="C22" s="34" t="s">
        <v>158</v>
      </c>
      <c r="D22" s="16">
        <v>2</v>
      </c>
      <c r="E22" s="17">
        <v>2.0409999999999999</v>
      </c>
      <c r="F22" s="8">
        <f t="shared" si="0"/>
        <v>4.0819999999999999</v>
      </c>
      <c r="G22" s="43">
        <v>0</v>
      </c>
      <c r="H22" s="44">
        <v>1290</v>
      </c>
      <c r="I22" s="17" t="s">
        <v>139</v>
      </c>
      <c r="J22" s="17" t="s">
        <v>138</v>
      </c>
      <c r="K22" s="16" t="s">
        <v>30</v>
      </c>
      <c r="L22" s="17" t="s">
        <v>140</v>
      </c>
      <c r="M22" s="13" t="s">
        <v>47</v>
      </c>
    </row>
    <row r="23" spans="1:13" x14ac:dyDescent="0.25">
      <c r="A23" s="4"/>
      <c r="B23" s="32">
        <v>15</v>
      </c>
      <c r="C23" s="34" t="s">
        <v>159</v>
      </c>
      <c r="D23" s="16">
        <v>3</v>
      </c>
      <c r="E23" s="17">
        <v>2.2551999999999999</v>
      </c>
      <c r="F23" s="8">
        <f t="shared" si="0"/>
        <v>6.7655999999999992</v>
      </c>
      <c r="G23" s="43">
        <v>0</v>
      </c>
      <c r="H23" s="44">
        <v>4436</v>
      </c>
      <c r="I23" s="17" t="s">
        <v>142</v>
      </c>
      <c r="J23" s="17" t="s">
        <v>141</v>
      </c>
      <c r="K23" s="16" t="s">
        <v>26</v>
      </c>
      <c r="L23" s="17" t="s">
        <v>143</v>
      </c>
      <c r="M23" s="13" t="s">
        <v>48</v>
      </c>
    </row>
    <row r="24" spans="1:13" x14ac:dyDescent="0.25">
      <c r="A24" s="4"/>
      <c r="B24" s="32">
        <v>16</v>
      </c>
      <c r="C24" s="34" t="s">
        <v>160</v>
      </c>
      <c r="D24" s="16">
        <v>1</v>
      </c>
      <c r="E24" s="17">
        <v>1.944</v>
      </c>
      <c r="F24" s="8">
        <f t="shared" si="0"/>
        <v>1.944</v>
      </c>
      <c r="G24" s="43">
        <v>0</v>
      </c>
      <c r="H24" s="44">
        <v>3759</v>
      </c>
      <c r="I24" s="17" t="s">
        <v>28</v>
      </c>
      <c r="J24" s="17" t="s">
        <v>27</v>
      </c>
      <c r="K24" s="16" t="s">
        <v>26</v>
      </c>
      <c r="L24" s="17" t="s">
        <v>29</v>
      </c>
      <c r="M24" s="13" t="s">
        <v>12</v>
      </c>
    </row>
    <row r="25" spans="1:13" x14ac:dyDescent="0.25">
      <c r="A25" s="4"/>
      <c r="B25" s="32">
        <v>17</v>
      </c>
      <c r="C25" s="34" t="s">
        <v>161</v>
      </c>
      <c r="D25" s="16">
        <v>1</v>
      </c>
      <c r="E25" s="17">
        <v>6.2640000000000002</v>
      </c>
      <c r="F25" s="8">
        <f t="shared" si="0"/>
        <v>6.2640000000000002</v>
      </c>
      <c r="G25" s="43">
        <v>0</v>
      </c>
      <c r="H25" s="44">
        <v>2419</v>
      </c>
      <c r="I25" s="17" t="s">
        <v>145</v>
      </c>
      <c r="J25" s="17" t="s">
        <v>144</v>
      </c>
      <c r="K25" s="16" t="s">
        <v>30</v>
      </c>
      <c r="L25" s="17" t="s">
        <v>146</v>
      </c>
      <c r="M25" s="13" t="s">
        <v>49</v>
      </c>
    </row>
    <row r="26" spans="1:13" x14ac:dyDescent="0.25">
      <c r="A26" s="4"/>
      <c r="B26" s="32">
        <v>18</v>
      </c>
      <c r="C26" s="34" t="s">
        <v>162</v>
      </c>
      <c r="D26" s="16">
        <v>1</v>
      </c>
      <c r="E26" s="17">
        <v>5.3869999999999996</v>
      </c>
      <c r="F26" s="8">
        <f t="shared" si="0"/>
        <v>5.3869999999999996</v>
      </c>
      <c r="G26" s="43">
        <v>0</v>
      </c>
      <c r="H26" s="44">
        <v>306</v>
      </c>
      <c r="I26" s="17" t="s">
        <v>216</v>
      </c>
      <c r="J26" s="17" t="s">
        <v>215</v>
      </c>
      <c r="K26" s="16" t="s">
        <v>20</v>
      </c>
      <c r="L26" s="17" t="s">
        <v>114</v>
      </c>
      <c r="M26" s="13" t="s">
        <v>50</v>
      </c>
    </row>
    <row r="27" spans="1:13" x14ac:dyDescent="0.25">
      <c r="A27" s="4"/>
      <c r="B27" s="32">
        <v>19</v>
      </c>
      <c r="C27" s="34" t="s">
        <v>163</v>
      </c>
      <c r="D27" s="16">
        <v>2</v>
      </c>
      <c r="E27" s="17">
        <v>3.137</v>
      </c>
      <c r="F27" s="8">
        <f t="shared" si="0"/>
        <v>6.274</v>
      </c>
      <c r="G27" s="43">
        <v>0</v>
      </c>
      <c r="H27" s="44">
        <v>2734</v>
      </c>
      <c r="I27" s="17" t="s">
        <v>218</v>
      </c>
      <c r="J27" s="17" t="s">
        <v>217</v>
      </c>
      <c r="K27" s="16" t="s">
        <v>20</v>
      </c>
      <c r="L27" s="17" t="s">
        <v>219</v>
      </c>
      <c r="M27" s="13" t="s">
        <v>51</v>
      </c>
    </row>
    <row r="28" spans="1:13" x14ac:dyDescent="0.25">
      <c r="A28" s="4"/>
      <c r="B28" s="32">
        <v>20</v>
      </c>
      <c r="C28" s="34" t="s">
        <v>164</v>
      </c>
      <c r="D28" s="16">
        <v>4</v>
      </c>
      <c r="E28" s="17">
        <v>2.4647999999999999</v>
      </c>
      <c r="F28" s="8">
        <f t="shared" si="0"/>
        <v>9.8591999999999995</v>
      </c>
      <c r="G28" s="43">
        <v>0</v>
      </c>
      <c r="H28" s="44">
        <v>1906</v>
      </c>
      <c r="I28" s="17" t="s">
        <v>222</v>
      </c>
      <c r="J28" s="17" t="s">
        <v>221</v>
      </c>
      <c r="K28" s="16" t="s">
        <v>220</v>
      </c>
      <c r="L28" s="17"/>
      <c r="M28" s="13" t="s">
        <v>52</v>
      </c>
    </row>
    <row r="29" spans="1:13" x14ac:dyDescent="0.25">
      <c r="A29" s="4"/>
      <c r="B29" s="32">
        <v>21</v>
      </c>
      <c r="C29" s="34" t="s">
        <v>165</v>
      </c>
      <c r="D29" s="16">
        <v>1</v>
      </c>
      <c r="E29" s="17">
        <v>11.44</v>
      </c>
      <c r="F29" s="8">
        <f t="shared" si="0"/>
        <v>11.44</v>
      </c>
      <c r="G29" s="43">
        <v>0</v>
      </c>
      <c r="H29" s="44">
        <v>878</v>
      </c>
      <c r="I29" s="17" t="s">
        <v>225</v>
      </c>
      <c r="J29" s="17" t="s">
        <v>224</v>
      </c>
      <c r="K29" s="16" t="s">
        <v>223</v>
      </c>
      <c r="L29" s="17" t="s">
        <v>226</v>
      </c>
      <c r="M29" s="13" t="s">
        <v>53</v>
      </c>
    </row>
    <row r="30" spans="1:13" x14ac:dyDescent="0.25">
      <c r="A30" s="4"/>
      <c r="B30" s="32">
        <v>22</v>
      </c>
      <c r="C30" s="34" t="s">
        <v>166</v>
      </c>
      <c r="D30" s="16">
        <v>1</v>
      </c>
      <c r="E30" s="17">
        <v>0.68600000000000005</v>
      </c>
      <c r="F30" s="8">
        <f t="shared" si="0"/>
        <v>0.68600000000000005</v>
      </c>
      <c r="G30" s="43">
        <v>0</v>
      </c>
      <c r="H30" s="44">
        <v>5913</v>
      </c>
      <c r="I30" s="17" t="s">
        <v>228</v>
      </c>
      <c r="J30" s="17" t="s">
        <v>227</v>
      </c>
      <c r="K30" s="16" t="s">
        <v>115</v>
      </c>
      <c r="L30" s="17" t="s">
        <v>143</v>
      </c>
      <c r="M30" s="13" t="s">
        <v>54</v>
      </c>
    </row>
    <row r="31" spans="1:13" x14ac:dyDescent="0.25">
      <c r="A31" s="4"/>
      <c r="B31" s="32">
        <v>23</v>
      </c>
      <c r="C31" s="34" t="s">
        <v>167</v>
      </c>
      <c r="D31" s="16">
        <v>1</v>
      </c>
      <c r="E31" s="17">
        <v>0.59899999999999998</v>
      </c>
      <c r="F31" s="8">
        <f t="shared" si="0"/>
        <v>0.59899999999999998</v>
      </c>
      <c r="G31" s="43">
        <v>0</v>
      </c>
      <c r="H31" s="44">
        <v>2604</v>
      </c>
      <c r="I31" s="17" t="s">
        <v>230</v>
      </c>
      <c r="J31" s="17" t="s">
        <v>229</v>
      </c>
      <c r="K31" s="16" t="s">
        <v>30</v>
      </c>
      <c r="L31" s="17" t="s">
        <v>32</v>
      </c>
      <c r="M31" s="13" t="s">
        <v>55</v>
      </c>
    </row>
    <row r="32" spans="1:13" x14ac:dyDescent="0.25">
      <c r="A32" s="4"/>
      <c r="B32" s="32">
        <v>24</v>
      </c>
      <c r="C32" s="34" t="s">
        <v>168</v>
      </c>
      <c r="D32" s="16">
        <v>1</v>
      </c>
      <c r="E32" s="17">
        <v>0.65800000000000003</v>
      </c>
      <c r="F32" s="8">
        <f t="shared" si="0"/>
        <v>0.65800000000000003</v>
      </c>
      <c r="G32" s="43">
        <v>0</v>
      </c>
      <c r="H32" s="44">
        <v>20579</v>
      </c>
      <c r="I32" s="17" t="s">
        <v>233</v>
      </c>
      <c r="J32" s="17" t="s">
        <v>232</v>
      </c>
      <c r="K32" s="16" t="s">
        <v>231</v>
      </c>
      <c r="L32" s="17" t="s">
        <v>234</v>
      </c>
      <c r="M32" s="13" t="s">
        <v>56</v>
      </c>
    </row>
    <row r="33" spans="1:13" x14ac:dyDescent="0.25">
      <c r="A33" s="4"/>
      <c r="B33" s="32">
        <v>25</v>
      </c>
      <c r="C33" s="34" t="s">
        <v>169</v>
      </c>
      <c r="D33" s="16">
        <v>1</v>
      </c>
      <c r="E33" s="17">
        <v>0.316</v>
      </c>
      <c r="F33" s="8">
        <f t="shared" si="0"/>
        <v>0.316</v>
      </c>
      <c r="G33" s="43">
        <v>0</v>
      </c>
      <c r="H33" s="44">
        <v>380448</v>
      </c>
      <c r="I33" s="17" t="s">
        <v>237</v>
      </c>
      <c r="J33" s="17" t="s">
        <v>236</v>
      </c>
      <c r="K33" s="16" t="s">
        <v>235</v>
      </c>
      <c r="L33" s="17" t="s">
        <v>238</v>
      </c>
      <c r="M33" s="13" t="s">
        <v>57</v>
      </c>
    </row>
    <row r="34" spans="1:13" x14ac:dyDescent="0.25">
      <c r="A34" s="4"/>
      <c r="B34" s="32">
        <v>26</v>
      </c>
      <c r="C34" s="34" t="s">
        <v>170</v>
      </c>
      <c r="D34" s="16">
        <v>1</v>
      </c>
      <c r="E34" s="17">
        <v>0.52800000000000002</v>
      </c>
      <c r="F34" s="8">
        <f t="shared" si="0"/>
        <v>0.52800000000000002</v>
      </c>
      <c r="G34" s="43">
        <v>0</v>
      </c>
      <c r="H34" s="44">
        <v>19355</v>
      </c>
      <c r="I34" s="17" t="s">
        <v>241</v>
      </c>
      <c r="J34" s="17" t="s">
        <v>240</v>
      </c>
      <c r="K34" s="16" t="s">
        <v>239</v>
      </c>
      <c r="L34" s="17"/>
      <c r="M34" s="13" t="s">
        <v>58</v>
      </c>
    </row>
    <row r="35" spans="1:13" x14ac:dyDescent="0.25">
      <c r="A35" s="4"/>
      <c r="B35" s="32">
        <v>27</v>
      </c>
      <c r="C35" s="34" t="s">
        <v>171</v>
      </c>
      <c r="D35" s="16">
        <v>1</v>
      </c>
      <c r="E35" s="17">
        <v>1.383</v>
      </c>
      <c r="F35" s="8">
        <f t="shared" si="0"/>
        <v>1.383</v>
      </c>
      <c r="G35" s="43">
        <v>0</v>
      </c>
      <c r="H35" s="44">
        <v>14567</v>
      </c>
      <c r="I35" s="17" t="s">
        <v>244</v>
      </c>
      <c r="J35" s="17" t="s">
        <v>243</v>
      </c>
      <c r="K35" s="16" t="s">
        <v>242</v>
      </c>
      <c r="L35" s="17"/>
      <c r="M35" s="13" t="s">
        <v>59</v>
      </c>
    </row>
    <row r="36" spans="1:13" x14ac:dyDescent="0.25">
      <c r="A36" s="4"/>
      <c r="B36" s="32">
        <v>28</v>
      </c>
      <c r="C36" s="34" t="s">
        <v>172</v>
      </c>
      <c r="D36" s="16">
        <v>1</v>
      </c>
      <c r="E36" s="17">
        <v>0.69</v>
      </c>
      <c r="F36" s="8">
        <f t="shared" si="0"/>
        <v>0.69</v>
      </c>
      <c r="G36" s="43">
        <v>0</v>
      </c>
      <c r="H36" s="44">
        <v>1859</v>
      </c>
      <c r="I36" s="17" t="s">
        <v>247</v>
      </c>
      <c r="J36" s="17" t="s">
        <v>246</v>
      </c>
      <c r="K36" s="16" t="s">
        <v>245</v>
      </c>
      <c r="L36" s="17"/>
      <c r="M36" s="13" t="s">
        <v>60</v>
      </c>
    </row>
    <row r="37" spans="1:13" ht="25.5" x14ac:dyDescent="0.25">
      <c r="A37" s="4"/>
      <c r="B37" s="32">
        <v>29</v>
      </c>
      <c r="C37" s="34" t="s">
        <v>375</v>
      </c>
      <c r="D37" s="16">
        <v>16</v>
      </c>
      <c r="E37" s="17">
        <v>5.2299999999999999E-2</v>
      </c>
      <c r="F37" s="8">
        <f t="shared" si="0"/>
        <v>0.83679999999999999</v>
      </c>
      <c r="G37" s="43">
        <v>0</v>
      </c>
      <c r="H37" s="44">
        <v>15088</v>
      </c>
      <c r="I37" s="17" t="s">
        <v>250</v>
      </c>
      <c r="J37" s="17" t="s">
        <v>249</v>
      </c>
      <c r="K37" s="16" t="s">
        <v>248</v>
      </c>
      <c r="L37" s="17" t="s">
        <v>251</v>
      </c>
      <c r="M37" s="13" t="s">
        <v>61</v>
      </c>
    </row>
    <row r="38" spans="1:13" x14ac:dyDescent="0.25">
      <c r="A38" s="4"/>
      <c r="B38" s="32">
        <v>30</v>
      </c>
      <c r="C38" s="34" t="s">
        <v>173</v>
      </c>
      <c r="D38" s="16">
        <v>3</v>
      </c>
      <c r="E38" s="17">
        <v>0.27600000000000002</v>
      </c>
      <c r="F38" s="8">
        <f t="shared" si="0"/>
        <v>0.82800000000000007</v>
      </c>
      <c r="G38" s="43">
        <v>0</v>
      </c>
      <c r="H38" s="44">
        <v>89449</v>
      </c>
      <c r="I38" s="17" t="s">
        <v>254</v>
      </c>
      <c r="J38" s="17" t="s">
        <v>253</v>
      </c>
      <c r="K38" s="16" t="s">
        <v>252</v>
      </c>
      <c r="L38" s="17" t="s">
        <v>255</v>
      </c>
      <c r="M38" s="13" t="s">
        <v>62</v>
      </c>
    </row>
    <row r="39" spans="1:13" x14ac:dyDescent="0.25">
      <c r="A39" s="4"/>
      <c r="B39" s="32">
        <v>31</v>
      </c>
      <c r="C39" s="34" t="s">
        <v>174</v>
      </c>
      <c r="D39" s="16">
        <v>1</v>
      </c>
      <c r="E39" s="17">
        <v>0.53</v>
      </c>
      <c r="F39" s="8">
        <f t="shared" si="0"/>
        <v>0.53</v>
      </c>
      <c r="G39" s="43">
        <v>0</v>
      </c>
      <c r="H39" s="44">
        <v>44279</v>
      </c>
      <c r="I39" s="17" t="s">
        <v>258</v>
      </c>
      <c r="J39" s="17" t="s">
        <v>257</v>
      </c>
      <c r="K39" s="16" t="s">
        <v>256</v>
      </c>
      <c r="L39" s="17" t="s">
        <v>259</v>
      </c>
      <c r="M39" s="13" t="s">
        <v>63</v>
      </c>
    </row>
    <row r="40" spans="1:13" x14ac:dyDescent="0.25">
      <c r="A40" s="4"/>
      <c r="B40" s="32">
        <v>32</v>
      </c>
      <c r="C40" s="34" t="s">
        <v>175</v>
      </c>
      <c r="D40" s="16">
        <v>2</v>
      </c>
      <c r="E40" s="17">
        <v>0.68200000000000005</v>
      </c>
      <c r="F40" s="8">
        <f t="shared" si="0"/>
        <v>1.3640000000000001</v>
      </c>
      <c r="G40" s="43">
        <v>0</v>
      </c>
      <c r="H40" s="44">
        <v>56379</v>
      </c>
      <c r="I40" s="17" t="s">
        <v>262</v>
      </c>
      <c r="J40" s="17" t="s">
        <v>261</v>
      </c>
      <c r="K40" s="16" t="s">
        <v>260</v>
      </c>
      <c r="L40" s="17" t="s">
        <v>263</v>
      </c>
      <c r="M40" s="13" t="s">
        <v>64</v>
      </c>
    </row>
    <row r="41" spans="1:13" x14ac:dyDescent="0.25">
      <c r="A41" s="4"/>
      <c r="B41" s="32">
        <v>33</v>
      </c>
      <c r="C41" s="34" t="s">
        <v>176</v>
      </c>
      <c r="D41" s="16">
        <v>4</v>
      </c>
      <c r="E41" s="17">
        <v>0.28839999999999999</v>
      </c>
      <c r="F41" s="8">
        <f t="shared" ref="F41:F72" si="1">D41*E41</f>
        <v>1.1536</v>
      </c>
      <c r="G41" s="43">
        <v>0</v>
      </c>
      <c r="H41" s="44">
        <v>68825</v>
      </c>
      <c r="I41" s="17" t="s">
        <v>265</v>
      </c>
      <c r="J41" s="17" t="s">
        <v>264</v>
      </c>
      <c r="K41" s="16" t="s">
        <v>260</v>
      </c>
      <c r="L41" s="17" t="s">
        <v>266</v>
      </c>
      <c r="M41" s="13" t="s">
        <v>65</v>
      </c>
    </row>
    <row r="42" spans="1:13" x14ac:dyDescent="0.25">
      <c r="A42" s="4"/>
      <c r="B42" s="32">
        <v>34</v>
      </c>
      <c r="C42" s="34" t="s">
        <v>177</v>
      </c>
      <c r="D42" s="16">
        <v>4</v>
      </c>
      <c r="E42" s="17">
        <v>0.43319999999999997</v>
      </c>
      <c r="F42" s="8">
        <f t="shared" si="1"/>
        <v>1.7327999999999999</v>
      </c>
      <c r="G42" s="43">
        <v>0</v>
      </c>
      <c r="H42" s="44">
        <v>9217</v>
      </c>
      <c r="I42" s="17" t="s">
        <v>269</v>
      </c>
      <c r="J42" s="17" t="s">
        <v>268</v>
      </c>
      <c r="K42" s="16" t="s">
        <v>267</v>
      </c>
      <c r="L42" s="17" t="s">
        <v>270</v>
      </c>
      <c r="M42" s="13" t="s">
        <v>66</v>
      </c>
    </row>
    <row r="43" spans="1:13" x14ac:dyDescent="0.25">
      <c r="A43" s="4"/>
      <c r="B43" s="32">
        <v>35</v>
      </c>
      <c r="C43" s="34" t="s">
        <v>178</v>
      </c>
      <c r="D43" s="16">
        <v>9</v>
      </c>
      <c r="E43" s="17">
        <v>0.73699999999999999</v>
      </c>
      <c r="F43" s="8">
        <f t="shared" si="1"/>
        <v>6.633</v>
      </c>
      <c r="G43" s="43">
        <v>0</v>
      </c>
      <c r="H43" s="44">
        <v>316267</v>
      </c>
      <c r="I43" s="17" t="s">
        <v>273</v>
      </c>
      <c r="J43" s="17" t="s">
        <v>272</v>
      </c>
      <c r="K43" s="16" t="s">
        <v>271</v>
      </c>
      <c r="L43" s="17" t="s">
        <v>274</v>
      </c>
      <c r="M43" s="13" t="s">
        <v>67</v>
      </c>
    </row>
    <row r="44" spans="1:13" x14ac:dyDescent="0.25">
      <c r="A44" s="4"/>
      <c r="B44" s="32">
        <v>36</v>
      </c>
      <c r="C44" s="34" t="s">
        <v>374</v>
      </c>
      <c r="D44" s="16">
        <v>2</v>
      </c>
      <c r="E44" s="17">
        <v>0.17299999999999999</v>
      </c>
      <c r="F44" s="8">
        <f t="shared" si="1"/>
        <v>0.34599999999999997</v>
      </c>
      <c r="G44" s="43">
        <v>0</v>
      </c>
      <c r="H44" s="44">
        <v>1041825</v>
      </c>
      <c r="I44" s="17" t="s">
        <v>379</v>
      </c>
      <c r="J44" s="17" t="s">
        <v>378</v>
      </c>
      <c r="K44" s="16" t="s">
        <v>252</v>
      </c>
      <c r="L44" s="17" t="s">
        <v>274</v>
      </c>
      <c r="M44" s="13" t="s">
        <v>373</v>
      </c>
    </row>
    <row r="45" spans="1:13" ht="25.5" x14ac:dyDescent="0.25">
      <c r="A45" s="4"/>
      <c r="B45" s="32">
        <v>37</v>
      </c>
      <c r="C45" s="34" t="s">
        <v>179</v>
      </c>
      <c r="D45" s="16">
        <v>11</v>
      </c>
      <c r="E45" s="17">
        <v>6.5100000000000005E-2</v>
      </c>
      <c r="F45" s="8">
        <f t="shared" si="1"/>
        <v>0.71610000000000007</v>
      </c>
      <c r="G45" s="43">
        <v>0</v>
      </c>
      <c r="H45" s="44">
        <v>2391623</v>
      </c>
      <c r="I45" s="17" t="s">
        <v>276</v>
      </c>
      <c r="J45" s="17" t="s">
        <v>275</v>
      </c>
      <c r="K45" s="16" t="s">
        <v>248</v>
      </c>
      <c r="L45" s="17" t="s">
        <v>251</v>
      </c>
      <c r="M45" s="13" t="s">
        <v>68</v>
      </c>
    </row>
    <row r="46" spans="1:13" x14ac:dyDescent="0.25">
      <c r="A46" s="4"/>
      <c r="B46" s="32">
        <v>38</v>
      </c>
      <c r="C46" s="34" t="s">
        <v>180</v>
      </c>
      <c r="D46" s="16">
        <v>1</v>
      </c>
      <c r="E46" s="17">
        <v>0.09</v>
      </c>
      <c r="F46" s="8">
        <f t="shared" si="1"/>
        <v>0.09</v>
      </c>
      <c r="G46" s="43">
        <v>0</v>
      </c>
      <c r="H46" s="44">
        <v>1843235</v>
      </c>
      <c r="I46" s="17" t="s">
        <v>278</v>
      </c>
      <c r="J46" s="17" t="s">
        <v>277</v>
      </c>
      <c r="K46" s="16" t="s">
        <v>252</v>
      </c>
      <c r="L46" s="17" t="s">
        <v>251</v>
      </c>
      <c r="M46" s="13" t="s">
        <v>69</v>
      </c>
    </row>
    <row r="47" spans="1:13" x14ac:dyDescent="0.25">
      <c r="A47" s="4"/>
      <c r="B47" s="32">
        <v>39</v>
      </c>
      <c r="C47" s="34" t="s">
        <v>181</v>
      </c>
      <c r="D47" s="16">
        <v>2</v>
      </c>
      <c r="E47" s="17">
        <v>0.157</v>
      </c>
      <c r="F47" s="8">
        <f t="shared" si="1"/>
        <v>0.314</v>
      </c>
      <c r="G47" s="43">
        <v>0</v>
      </c>
      <c r="H47" s="44">
        <v>253343</v>
      </c>
      <c r="I47" s="17" t="s">
        <v>281</v>
      </c>
      <c r="J47" s="17" t="s">
        <v>280</v>
      </c>
      <c r="K47" s="16" t="s">
        <v>279</v>
      </c>
      <c r="L47" s="17" t="s">
        <v>251</v>
      </c>
      <c r="M47" s="13" t="s">
        <v>70</v>
      </c>
    </row>
    <row r="48" spans="1:13" x14ac:dyDescent="0.25">
      <c r="A48" s="4"/>
      <c r="B48" s="32">
        <v>40</v>
      </c>
      <c r="C48" s="34" t="s">
        <v>182</v>
      </c>
      <c r="D48" s="16">
        <v>3</v>
      </c>
      <c r="E48" s="17">
        <v>0.06</v>
      </c>
      <c r="F48" s="8">
        <f t="shared" si="1"/>
        <v>0.18</v>
      </c>
      <c r="G48" s="43">
        <v>0</v>
      </c>
      <c r="H48" s="44">
        <v>531604</v>
      </c>
      <c r="I48" s="17" t="s">
        <v>283</v>
      </c>
      <c r="J48" s="17" t="s">
        <v>282</v>
      </c>
      <c r="K48" s="16" t="s">
        <v>252</v>
      </c>
      <c r="L48" s="17" t="s">
        <v>251</v>
      </c>
      <c r="M48" s="13" t="s">
        <v>71</v>
      </c>
    </row>
    <row r="49" spans="1:13" ht="127.5" x14ac:dyDescent="0.25">
      <c r="A49" s="4"/>
      <c r="B49" s="32">
        <v>41</v>
      </c>
      <c r="C49" s="34" t="s">
        <v>376</v>
      </c>
      <c r="D49" s="16">
        <v>87</v>
      </c>
      <c r="E49" s="17">
        <v>6.94E-3</v>
      </c>
      <c r="F49" s="8">
        <f t="shared" si="1"/>
        <v>0.60377999999999998</v>
      </c>
      <c r="G49" s="43">
        <v>0</v>
      </c>
      <c r="H49" s="44">
        <v>1913189</v>
      </c>
      <c r="I49" s="17" t="s">
        <v>286</v>
      </c>
      <c r="J49" s="17" t="s">
        <v>285</v>
      </c>
      <c r="K49" s="16" t="s">
        <v>284</v>
      </c>
      <c r="L49" s="17" t="s">
        <v>251</v>
      </c>
      <c r="M49" s="13" t="s">
        <v>72</v>
      </c>
    </row>
    <row r="50" spans="1:13" ht="51" x14ac:dyDescent="0.25">
      <c r="A50" s="4"/>
      <c r="B50" s="32">
        <v>42</v>
      </c>
      <c r="C50" s="34" t="s">
        <v>183</v>
      </c>
      <c r="D50" s="16">
        <v>28</v>
      </c>
      <c r="E50" s="17">
        <v>7.1999999999999998E-3</v>
      </c>
      <c r="F50" s="8">
        <f t="shared" si="1"/>
        <v>0.2016</v>
      </c>
      <c r="G50" s="43">
        <v>0</v>
      </c>
      <c r="H50" s="44">
        <v>463854</v>
      </c>
      <c r="I50" s="17" t="s">
        <v>288</v>
      </c>
      <c r="J50" s="17" t="s">
        <v>287</v>
      </c>
      <c r="K50" s="16" t="s">
        <v>284</v>
      </c>
      <c r="L50" s="17" t="s">
        <v>251</v>
      </c>
      <c r="M50" s="13" t="s">
        <v>73</v>
      </c>
    </row>
    <row r="51" spans="1:13" x14ac:dyDescent="0.25">
      <c r="A51" s="4"/>
      <c r="B51" s="32">
        <v>43</v>
      </c>
      <c r="C51" s="34" t="s">
        <v>184</v>
      </c>
      <c r="D51" s="16">
        <v>6</v>
      </c>
      <c r="E51" s="17">
        <v>1.44E-2</v>
      </c>
      <c r="F51" s="8">
        <f t="shared" si="1"/>
        <v>8.6400000000000005E-2</v>
      </c>
      <c r="G51" s="43">
        <v>0</v>
      </c>
      <c r="H51" s="44">
        <v>1203150</v>
      </c>
      <c r="I51" s="17" t="s">
        <v>291</v>
      </c>
      <c r="J51" s="17" t="s">
        <v>290</v>
      </c>
      <c r="K51" s="16" t="s">
        <v>289</v>
      </c>
      <c r="L51" s="17" t="s">
        <v>251</v>
      </c>
      <c r="M51" s="13" t="s">
        <v>74</v>
      </c>
    </row>
    <row r="52" spans="1:13" x14ac:dyDescent="0.25">
      <c r="A52" s="4"/>
      <c r="B52" s="32">
        <v>44</v>
      </c>
      <c r="C52" s="34" t="s">
        <v>185</v>
      </c>
      <c r="D52" s="16">
        <v>5</v>
      </c>
      <c r="E52" s="17">
        <v>0.03</v>
      </c>
      <c r="F52" s="8">
        <f t="shared" si="1"/>
        <v>0.15</v>
      </c>
      <c r="G52" s="43">
        <v>0</v>
      </c>
      <c r="H52" s="44">
        <v>958671</v>
      </c>
      <c r="I52" s="17" t="s">
        <v>293</v>
      </c>
      <c r="J52" s="17" t="s">
        <v>292</v>
      </c>
      <c r="K52" s="16" t="s">
        <v>271</v>
      </c>
      <c r="L52" s="17" t="s">
        <v>251</v>
      </c>
      <c r="M52" s="13" t="s">
        <v>75</v>
      </c>
    </row>
    <row r="53" spans="1:13" x14ac:dyDescent="0.25">
      <c r="A53" s="4"/>
      <c r="B53" s="32">
        <v>45</v>
      </c>
      <c r="C53" s="34" t="s">
        <v>186</v>
      </c>
      <c r="D53" s="16">
        <v>3</v>
      </c>
      <c r="E53" s="17">
        <v>0.35320000000000001</v>
      </c>
      <c r="F53" s="8">
        <f t="shared" si="1"/>
        <v>1.0596000000000001</v>
      </c>
      <c r="G53" s="43">
        <v>0</v>
      </c>
      <c r="H53" s="44">
        <v>198808</v>
      </c>
      <c r="I53" s="17" t="s">
        <v>296</v>
      </c>
      <c r="J53" s="17" t="s">
        <v>295</v>
      </c>
      <c r="K53" s="16" t="s">
        <v>294</v>
      </c>
      <c r="L53" s="17" t="s">
        <v>297</v>
      </c>
      <c r="M53" s="13" t="s">
        <v>76</v>
      </c>
    </row>
    <row r="54" spans="1:13" x14ac:dyDescent="0.25">
      <c r="A54" s="4"/>
      <c r="B54" s="32">
        <v>46</v>
      </c>
      <c r="C54" s="34" t="s">
        <v>187</v>
      </c>
      <c r="D54" s="16">
        <v>1</v>
      </c>
      <c r="E54" s="17">
        <v>0.36</v>
      </c>
      <c r="F54" s="8">
        <f t="shared" si="1"/>
        <v>0.36</v>
      </c>
      <c r="G54" s="43">
        <v>0</v>
      </c>
      <c r="H54" s="44">
        <v>20343</v>
      </c>
      <c r="I54" s="17" t="s">
        <v>380</v>
      </c>
      <c r="J54" s="17" t="s">
        <v>299</v>
      </c>
      <c r="K54" s="16" t="s">
        <v>298</v>
      </c>
      <c r="L54" s="17" t="s">
        <v>300</v>
      </c>
      <c r="M54" s="13" t="s">
        <v>77</v>
      </c>
    </row>
    <row r="55" spans="1:13" x14ac:dyDescent="0.25">
      <c r="A55" s="4"/>
      <c r="B55" s="32">
        <v>47</v>
      </c>
      <c r="C55" s="34" t="s">
        <v>188</v>
      </c>
      <c r="D55" s="16">
        <v>4</v>
      </c>
      <c r="E55" s="17">
        <v>0.56479999999999997</v>
      </c>
      <c r="F55" s="8">
        <f t="shared" si="1"/>
        <v>2.2591999999999999</v>
      </c>
      <c r="G55" s="43">
        <v>0</v>
      </c>
      <c r="H55" s="44">
        <v>15958</v>
      </c>
      <c r="I55" s="17" t="s">
        <v>381</v>
      </c>
      <c r="J55" s="17" t="s">
        <v>301</v>
      </c>
      <c r="K55" s="16" t="s">
        <v>115</v>
      </c>
      <c r="L55" s="17" t="s">
        <v>302</v>
      </c>
      <c r="M55" s="13" t="s">
        <v>78</v>
      </c>
    </row>
    <row r="56" spans="1:13" x14ac:dyDescent="0.25">
      <c r="A56" s="4"/>
      <c r="B56" s="32">
        <v>48</v>
      </c>
      <c r="C56" s="34" t="s">
        <v>189</v>
      </c>
      <c r="D56" s="16">
        <v>7</v>
      </c>
      <c r="E56" s="17">
        <v>0.55200000000000005</v>
      </c>
      <c r="F56" s="8">
        <f t="shared" si="1"/>
        <v>3.8640000000000003</v>
      </c>
      <c r="G56" s="43">
        <v>0</v>
      </c>
      <c r="H56" s="44">
        <v>38297</v>
      </c>
      <c r="I56" s="17" t="s">
        <v>305</v>
      </c>
      <c r="J56" s="17" t="s">
        <v>304</v>
      </c>
      <c r="K56" s="16" t="s">
        <v>303</v>
      </c>
      <c r="L56" s="17" t="s">
        <v>306</v>
      </c>
      <c r="M56" s="13" t="s">
        <v>79</v>
      </c>
    </row>
    <row r="57" spans="1:13" x14ac:dyDescent="0.25">
      <c r="A57" s="4"/>
      <c r="B57" s="32">
        <v>49</v>
      </c>
      <c r="C57" s="34" t="s">
        <v>383</v>
      </c>
      <c r="D57" s="16">
        <v>2</v>
      </c>
      <c r="E57" s="17">
        <v>0.22800000000000001</v>
      </c>
      <c r="F57" s="8">
        <f t="shared" si="1"/>
        <v>0.45600000000000002</v>
      </c>
      <c r="G57" s="43">
        <v>0</v>
      </c>
      <c r="H57" s="44">
        <v>350979</v>
      </c>
      <c r="I57" s="17" t="s">
        <v>392</v>
      </c>
      <c r="J57" s="17" t="s">
        <v>391</v>
      </c>
      <c r="K57" s="16" t="s">
        <v>390</v>
      </c>
      <c r="L57" s="17" t="s">
        <v>251</v>
      </c>
      <c r="M57" s="13" t="s">
        <v>382</v>
      </c>
    </row>
    <row r="58" spans="1:13" x14ac:dyDescent="0.25">
      <c r="A58" s="4"/>
      <c r="B58" s="32">
        <v>50</v>
      </c>
      <c r="C58" s="34" t="s">
        <v>190</v>
      </c>
      <c r="D58" s="16">
        <v>4</v>
      </c>
      <c r="E58" s="17">
        <v>0.25519999999999998</v>
      </c>
      <c r="F58" s="8">
        <f t="shared" si="1"/>
        <v>1.0207999999999999</v>
      </c>
      <c r="G58" s="43">
        <v>0</v>
      </c>
      <c r="H58" s="44">
        <v>1780558</v>
      </c>
      <c r="I58" s="17" t="s">
        <v>309</v>
      </c>
      <c r="J58" s="17" t="s">
        <v>308</v>
      </c>
      <c r="K58" s="16" t="s">
        <v>307</v>
      </c>
      <c r="L58" s="17" t="s">
        <v>310</v>
      </c>
      <c r="M58" s="13" t="s">
        <v>80</v>
      </c>
    </row>
    <row r="59" spans="1:13" x14ac:dyDescent="0.25">
      <c r="A59" s="4"/>
      <c r="B59" s="32">
        <v>51</v>
      </c>
      <c r="C59" s="34" t="s">
        <v>191</v>
      </c>
      <c r="D59" s="16">
        <v>6</v>
      </c>
      <c r="E59" s="17">
        <v>0.38519999999999999</v>
      </c>
      <c r="F59" s="8">
        <f t="shared" si="1"/>
        <v>2.3111999999999999</v>
      </c>
      <c r="G59" s="43">
        <v>0</v>
      </c>
      <c r="H59" s="44">
        <v>9024</v>
      </c>
      <c r="I59" s="17" t="s">
        <v>393</v>
      </c>
      <c r="J59" s="17" t="s">
        <v>312</v>
      </c>
      <c r="K59" s="16" t="s">
        <v>311</v>
      </c>
      <c r="L59" s="17" t="s">
        <v>313</v>
      </c>
      <c r="M59" s="13" t="s">
        <v>81</v>
      </c>
    </row>
    <row r="60" spans="1:13" x14ac:dyDescent="0.25">
      <c r="A60" s="4"/>
      <c r="B60" s="32">
        <v>52</v>
      </c>
      <c r="C60" s="34" t="s">
        <v>192</v>
      </c>
      <c r="D60" s="16">
        <v>2</v>
      </c>
      <c r="E60" s="17">
        <v>0.1</v>
      </c>
      <c r="F60" s="8">
        <f t="shared" si="1"/>
        <v>0.2</v>
      </c>
      <c r="G60" s="43">
        <v>0</v>
      </c>
      <c r="H60" s="44">
        <v>285722</v>
      </c>
      <c r="I60" s="17" t="s">
        <v>316</v>
      </c>
      <c r="J60" s="17" t="s">
        <v>315</v>
      </c>
      <c r="K60" s="16" t="s">
        <v>314</v>
      </c>
      <c r="L60" s="17">
        <v>603</v>
      </c>
      <c r="M60" s="13" t="s">
        <v>82</v>
      </c>
    </row>
    <row r="61" spans="1:13" x14ac:dyDescent="0.25">
      <c r="A61" s="4"/>
      <c r="B61" s="32">
        <v>53</v>
      </c>
      <c r="C61" s="34" t="s">
        <v>193</v>
      </c>
      <c r="D61" s="16">
        <v>2</v>
      </c>
      <c r="E61" s="17">
        <v>1.4E-2</v>
      </c>
      <c r="F61" s="8">
        <f t="shared" si="1"/>
        <v>2.8000000000000001E-2</v>
      </c>
      <c r="G61" s="43">
        <v>0</v>
      </c>
      <c r="H61" s="44">
        <v>1089629</v>
      </c>
      <c r="I61" s="17" t="s">
        <v>319</v>
      </c>
      <c r="J61" s="17" t="s">
        <v>318</v>
      </c>
      <c r="K61" s="16" t="s">
        <v>317</v>
      </c>
      <c r="L61" s="17">
        <v>603</v>
      </c>
      <c r="M61" s="13" t="s">
        <v>83</v>
      </c>
    </row>
    <row r="62" spans="1:13" x14ac:dyDescent="0.25">
      <c r="A62" s="4"/>
      <c r="B62" s="32">
        <v>54</v>
      </c>
      <c r="C62" s="34" t="s">
        <v>194</v>
      </c>
      <c r="D62" s="16">
        <v>1</v>
      </c>
      <c r="E62" s="17">
        <v>1.4E-2</v>
      </c>
      <c r="F62" s="8">
        <f t="shared" si="1"/>
        <v>1.4E-2</v>
      </c>
      <c r="G62" s="43">
        <v>0</v>
      </c>
      <c r="H62" s="44">
        <v>81523</v>
      </c>
      <c r="I62" s="17" t="s">
        <v>321</v>
      </c>
      <c r="J62" s="17" t="s">
        <v>320</v>
      </c>
      <c r="K62" s="16" t="s">
        <v>317</v>
      </c>
      <c r="L62" s="17">
        <v>603</v>
      </c>
      <c r="M62" s="13" t="s">
        <v>84</v>
      </c>
    </row>
    <row r="63" spans="1:13" x14ac:dyDescent="0.25">
      <c r="A63" s="4"/>
      <c r="B63" s="32">
        <v>55</v>
      </c>
      <c r="C63" s="34" t="s">
        <v>195</v>
      </c>
      <c r="D63" s="16">
        <v>5</v>
      </c>
      <c r="E63" s="17">
        <v>1.4999999999999999E-2</v>
      </c>
      <c r="F63" s="8">
        <f t="shared" si="1"/>
        <v>7.4999999999999997E-2</v>
      </c>
      <c r="G63" s="43">
        <v>0</v>
      </c>
      <c r="H63" s="44">
        <v>163771</v>
      </c>
      <c r="I63" s="17" t="s">
        <v>323</v>
      </c>
      <c r="J63" s="17" t="s">
        <v>322</v>
      </c>
      <c r="K63" s="16" t="s">
        <v>314</v>
      </c>
      <c r="L63" s="17">
        <v>603</v>
      </c>
      <c r="M63" s="13" t="s">
        <v>85</v>
      </c>
    </row>
    <row r="64" spans="1:13" x14ac:dyDescent="0.25">
      <c r="A64" s="4"/>
      <c r="B64" s="32">
        <v>56</v>
      </c>
      <c r="C64" s="34" t="s">
        <v>196</v>
      </c>
      <c r="D64" s="16">
        <v>7</v>
      </c>
      <c r="E64" s="17">
        <v>1.4999999999999999E-2</v>
      </c>
      <c r="F64" s="8">
        <f t="shared" si="1"/>
        <v>0.105</v>
      </c>
      <c r="G64" s="43">
        <v>0</v>
      </c>
      <c r="H64" s="44">
        <v>4856179</v>
      </c>
      <c r="I64" s="17" t="s">
        <v>325</v>
      </c>
      <c r="J64" s="17" t="s">
        <v>324</v>
      </c>
      <c r="K64" s="16" t="s">
        <v>314</v>
      </c>
      <c r="L64" s="17">
        <v>603</v>
      </c>
      <c r="M64" s="13" t="s">
        <v>86</v>
      </c>
    </row>
    <row r="65" spans="1:13" x14ac:dyDescent="0.25">
      <c r="A65" s="4"/>
      <c r="B65" s="32">
        <v>57</v>
      </c>
      <c r="C65" s="34" t="s">
        <v>197</v>
      </c>
      <c r="D65" s="16">
        <v>2</v>
      </c>
      <c r="E65" s="17">
        <v>0.1</v>
      </c>
      <c r="F65" s="8">
        <f t="shared" si="1"/>
        <v>0.2</v>
      </c>
      <c r="G65" s="43">
        <v>0</v>
      </c>
      <c r="H65" s="44">
        <v>90983</v>
      </c>
      <c r="I65" s="17" t="s">
        <v>327</v>
      </c>
      <c r="J65" s="17" t="s">
        <v>326</v>
      </c>
      <c r="K65" s="16" t="s">
        <v>314</v>
      </c>
      <c r="L65" s="17">
        <v>603</v>
      </c>
      <c r="M65" s="13" t="s">
        <v>87</v>
      </c>
    </row>
    <row r="66" spans="1:13" x14ac:dyDescent="0.25">
      <c r="A66" s="4"/>
      <c r="B66" s="32">
        <v>58</v>
      </c>
      <c r="C66" s="34" t="s">
        <v>367</v>
      </c>
      <c r="D66" s="16">
        <v>3</v>
      </c>
      <c r="E66" s="17">
        <v>1.04E-2</v>
      </c>
      <c r="F66" s="8">
        <f t="shared" si="1"/>
        <v>3.1199999999999999E-2</v>
      </c>
      <c r="G66" s="43">
        <v>0</v>
      </c>
      <c r="H66" s="44">
        <v>330851</v>
      </c>
      <c r="I66" s="17" t="s">
        <v>329</v>
      </c>
      <c r="J66" s="17" t="s">
        <v>328</v>
      </c>
      <c r="K66" s="16" t="s">
        <v>317</v>
      </c>
      <c r="L66" s="17">
        <v>603</v>
      </c>
      <c r="M66" s="13" t="s">
        <v>88</v>
      </c>
    </row>
    <row r="67" spans="1:13" x14ac:dyDescent="0.25">
      <c r="A67" s="4"/>
      <c r="B67" s="32">
        <v>59</v>
      </c>
      <c r="C67" s="34" t="s">
        <v>198</v>
      </c>
      <c r="D67" s="16">
        <v>4</v>
      </c>
      <c r="E67" s="17">
        <v>0.1</v>
      </c>
      <c r="F67" s="8">
        <f t="shared" si="1"/>
        <v>0.4</v>
      </c>
      <c r="G67" s="43">
        <v>0</v>
      </c>
      <c r="H67" s="44">
        <v>316319</v>
      </c>
      <c r="I67" s="17" t="s">
        <v>331</v>
      </c>
      <c r="J67" s="17" t="s">
        <v>330</v>
      </c>
      <c r="K67" s="16" t="s">
        <v>314</v>
      </c>
      <c r="L67" s="17">
        <v>603</v>
      </c>
      <c r="M67" s="13" t="s">
        <v>89</v>
      </c>
    </row>
    <row r="68" spans="1:13" x14ac:dyDescent="0.25">
      <c r="A68" s="4"/>
      <c r="B68" s="32">
        <v>60</v>
      </c>
      <c r="C68" s="34" t="s">
        <v>199</v>
      </c>
      <c r="D68" s="16">
        <v>8</v>
      </c>
      <c r="E68" s="17">
        <v>1.4999999999999999E-2</v>
      </c>
      <c r="F68" s="8">
        <f t="shared" si="1"/>
        <v>0.12</v>
      </c>
      <c r="G68" s="43">
        <v>0</v>
      </c>
      <c r="H68" s="44">
        <v>201307</v>
      </c>
      <c r="I68" s="17" t="s">
        <v>333</v>
      </c>
      <c r="J68" s="17" t="s">
        <v>332</v>
      </c>
      <c r="K68" s="16" t="s">
        <v>314</v>
      </c>
      <c r="L68" s="17">
        <v>603</v>
      </c>
      <c r="M68" s="13" t="s">
        <v>90</v>
      </c>
    </row>
    <row r="69" spans="1:13" x14ac:dyDescent="0.25">
      <c r="A69" s="4"/>
      <c r="B69" s="32">
        <v>61</v>
      </c>
      <c r="C69" s="34" t="s">
        <v>200</v>
      </c>
      <c r="D69" s="16">
        <v>2</v>
      </c>
      <c r="E69" s="17">
        <v>1.4E-2</v>
      </c>
      <c r="F69" s="8">
        <f t="shared" si="1"/>
        <v>2.8000000000000001E-2</v>
      </c>
      <c r="G69" s="43">
        <v>0</v>
      </c>
      <c r="H69" s="44">
        <v>116823</v>
      </c>
      <c r="I69" s="17" t="s">
        <v>335</v>
      </c>
      <c r="J69" s="17" t="s">
        <v>334</v>
      </c>
      <c r="K69" s="16" t="s">
        <v>317</v>
      </c>
      <c r="L69" s="17">
        <v>603</v>
      </c>
      <c r="M69" s="13" t="s">
        <v>91</v>
      </c>
    </row>
    <row r="70" spans="1:13" x14ac:dyDescent="0.25">
      <c r="A70" s="4"/>
      <c r="B70" s="32">
        <v>62</v>
      </c>
      <c r="C70" s="34" t="s">
        <v>201</v>
      </c>
      <c r="D70" s="16">
        <v>4</v>
      </c>
      <c r="E70" s="17">
        <v>0.1</v>
      </c>
      <c r="F70" s="8">
        <f t="shared" si="1"/>
        <v>0.4</v>
      </c>
      <c r="G70" s="43">
        <v>0</v>
      </c>
      <c r="H70" s="44">
        <v>470418</v>
      </c>
      <c r="I70" s="17" t="s">
        <v>337</v>
      </c>
      <c r="J70" s="17" t="s">
        <v>336</v>
      </c>
      <c r="K70" s="16" t="s">
        <v>314</v>
      </c>
      <c r="L70" s="17">
        <v>603</v>
      </c>
      <c r="M70" s="13" t="s">
        <v>92</v>
      </c>
    </row>
    <row r="71" spans="1:13" x14ac:dyDescent="0.25">
      <c r="A71" s="4"/>
      <c r="B71" s="32">
        <v>63</v>
      </c>
      <c r="C71" s="34" t="s">
        <v>202</v>
      </c>
      <c r="D71" s="16">
        <v>1</v>
      </c>
      <c r="E71" s="17">
        <v>0.1</v>
      </c>
      <c r="F71" s="8">
        <f t="shared" si="1"/>
        <v>0.1</v>
      </c>
      <c r="G71" s="43">
        <v>0</v>
      </c>
      <c r="H71" s="44">
        <v>257118</v>
      </c>
      <c r="I71" s="17" t="s">
        <v>339</v>
      </c>
      <c r="J71" s="17" t="s">
        <v>338</v>
      </c>
      <c r="K71" s="16" t="s">
        <v>314</v>
      </c>
      <c r="L71" s="17">
        <v>603</v>
      </c>
      <c r="M71" s="13" t="s">
        <v>93</v>
      </c>
    </row>
    <row r="72" spans="1:13" ht="25.5" x14ac:dyDescent="0.25">
      <c r="A72" s="4"/>
      <c r="B72" s="32">
        <v>64</v>
      </c>
      <c r="C72" s="34" t="s">
        <v>203</v>
      </c>
      <c r="D72" s="16">
        <v>18</v>
      </c>
      <c r="E72" s="17">
        <v>1.14E-2</v>
      </c>
      <c r="F72" s="8">
        <f t="shared" si="1"/>
        <v>0.20519999999999999</v>
      </c>
      <c r="G72" s="43">
        <v>0</v>
      </c>
      <c r="H72" s="44">
        <v>6208638</v>
      </c>
      <c r="I72" s="17" t="s">
        <v>341</v>
      </c>
      <c r="J72" s="17" t="s">
        <v>340</v>
      </c>
      <c r="K72" s="16" t="s">
        <v>314</v>
      </c>
      <c r="L72" s="17">
        <v>603</v>
      </c>
      <c r="M72" s="13" t="s">
        <v>94</v>
      </c>
    </row>
    <row r="73" spans="1:13" x14ac:dyDescent="0.25">
      <c r="A73" s="4"/>
      <c r="B73" s="32">
        <v>65</v>
      </c>
      <c r="C73" s="34" t="s">
        <v>369</v>
      </c>
      <c r="D73" s="16">
        <v>1</v>
      </c>
      <c r="E73" s="17">
        <v>0.1</v>
      </c>
      <c r="F73" s="8">
        <f t="shared" ref="F73:F89" si="2">D73*E73</f>
        <v>0.1</v>
      </c>
      <c r="G73" s="43">
        <v>0</v>
      </c>
      <c r="H73" s="44">
        <v>93874</v>
      </c>
      <c r="I73" s="17" t="s">
        <v>371</v>
      </c>
      <c r="J73" s="17" t="s">
        <v>370</v>
      </c>
      <c r="K73" s="16" t="s">
        <v>314</v>
      </c>
      <c r="L73" s="17">
        <v>603</v>
      </c>
      <c r="M73" s="13" t="s">
        <v>368</v>
      </c>
    </row>
    <row r="74" spans="1:13" x14ac:dyDescent="0.25">
      <c r="A74" s="4"/>
      <c r="B74" s="32">
        <v>66</v>
      </c>
      <c r="C74" s="34" t="s">
        <v>204</v>
      </c>
      <c r="D74" s="16">
        <v>2</v>
      </c>
      <c r="E74" s="17">
        <v>0.1</v>
      </c>
      <c r="F74" s="8">
        <f t="shared" si="2"/>
        <v>0.2</v>
      </c>
      <c r="G74" s="43">
        <v>0</v>
      </c>
      <c r="H74" s="44">
        <v>151741</v>
      </c>
      <c r="I74" s="17" t="s">
        <v>343</v>
      </c>
      <c r="J74" s="17" t="s">
        <v>342</v>
      </c>
      <c r="K74" s="16" t="s">
        <v>314</v>
      </c>
      <c r="L74" s="17">
        <v>603</v>
      </c>
      <c r="M74" s="13" t="s">
        <v>95</v>
      </c>
    </row>
    <row r="75" spans="1:13" x14ac:dyDescent="0.25">
      <c r="A75" s="4"/>
      <c r="B75" s="32">
        <v>67</v>
      </c>
      <c r="C75" s="34" t="s">
        <v>205</v>
      </c>
      <c r="D75" s="16">
        <v>2</v>
      </c>
      <c r="E75" s="17">
        <v>1.4E-2</v>
      </c>
      <c r="F75" s="8">
        <f t="shared" si="2"/>
        <v>2.8000000000000001E-2</v>
      </c>
      <c r="G75" s="43">
        <v>0</v>
      </c>
      <c r="H75" s="44">
        <v>767601</v>
      </c>
      <c r="I75" s="17" t="s">
        <v>345</v>
      </c>
      <c r="J75" s="17" t="s">
        <v>344</v>
      </c>
      <c r="K75" s="16" t="s">
        <v>317</v>
      </c>
      <c r="L75" s="17">
        <v>603</v>
      </c>
      <c r="M75" s="13" t="s">
        <v>96</v>
      </c>
    </row>
    <row r="76" spans="1:13" x14ac:dyDescent="0.25">
      <c r="A76" s="4"/>
      <c r="B76" s="32">
        <v>68</v>
      </c>
      <c r="C76" s="34" t="s">
        <v>389</v>
      </c>
      <c r="D76" s="16">
        <v>4</v>
      </c>
      <c r="E76" s="17">
        <v>0.1</v>
      </c>
      <c r="F76" s="8">
        <f t="shared" si="2"/>
        <v>0.4</v>
      </c>
      <c r="G76" s="43">
        <v>0</v>
      </c>
      <c r="H76" s="44">
        <v>123450</v>
      </c>
      <c r="I76" s="17" t="s">
        <v>395</v>
      </c>
      <c r="J76" s="17" t="s">
        <v>394</v>
      </c>
      <c r="K76" s="16" t="s">
        <v>314</v>
      </c>
      <c r="L76" s="17">
        <v>603</v>
      </c>
      <c r="M76" s="13" t="s">
        <v>388</v>
      </c>
    </row>
    <row r="77" spans="1:13" x14ac:dyDescent="0.25">
      <c r="A77" s="4"/>
      <c r="B77" s="32">
        <v>69</v>
      </c>
      <c r="C77" s="34" t="s">
        <v>206</v>
      </c>
      <c r="D77" s="16">
        <v>2</v>
      </c>
      <c r="E77" s="17">
        <v>0.1</v>
      </c>
      <c r="F77" s="8">
        <f t="shared" si="2"/>
        <v>0.2</v>
      </c>
      <c r="G77" s="43">
        <v>0</v>
      </c>
      <c r="H77" s="44">
        <v>842063</v>
      </c>
      <c r="I77" s="17" t="s">
        <v>347</v>
      </c>
      <c r="J77" s="17" t="s">
        <v>346</v>
      </c>
      <c r="K77" s="16" t="s">
        <v>314</v>
      </c>
      <c r="L77" s="17">
        <v>603</v>
      </c>
      <c r="M77" s="13" t="s">
        <v>97</v>
      </c>
    </row>
    <row r="78" spans="1:13" x14ac:dyDescent="0.25">
      <c r="A78" s="4"/>
      <c r="B78" s="32">
        <v>70</v>
      </c>
      <c r="C78" s="34" t="s">
        <v>387</v>
      </c>
      <c r="D78" s="16">
        <v>4</v>
      </c>
      <c r="E78" s="17">
        <v>0.1</v>
      </c>
      <c r="F78" s="8">
        <f t="shared" si="2"/>
        <v>0.4</v>
      </c>
      <c r="G78" s="43">
        <v>0</v>
      </c>
      <c r="H78" s="44">
        <v>125258</v>
      </c>
      <c r="I78" s="17" t="s">
        <v>397</v>
      </c>
      <c r="J78" s="17" t="s">
        <v>396</v>
      </c>
      <c r="K78" s="16" t="s">
        <v>314</v>
      </c>
      <c r="L78" s="17">
        <v>603</v>
      </c>
      <c r="M78" s="13" t="s">
        <v>386</v>
      </c>
    </row>
    <row r="79" spans="1:13" x14ac:dyDescent="0.25">
      <c r="A79" s="4"/>
      <c r="B79" s="32">
        <v>71</v>
      </c>
      <c r="C79" s="34" t="s">
        <v>400</v>
      </c>
      <c r="D79" s="16">
        <v>7</v>
      </c>
      <c r="E79" s="17">
        <v>1.4999999999999999E-2</v>
      </c>
      <c r="F79" s="8">
        <f t="shared" si="2"/>
        <v>0.105</v>
      </c>
      <c r="G79" s="43">
        <v>0</v>
      </c>
      <c r="H79" s="44">
        <v>4018508</v>
      </c>
      <c r="I79" s="17" t="s">
        <v>349</v>
      </c>
      <c r="J79" s="17" t="s">
        <v>348</v>
      </c>
      <c r="K79" s="16" t="s">
        <v>314</v>
      </c>
      <c r="L79" s="17">
        <v>603</v>
      </c>
      <c r="M79" s="13" t="s">
        <v>98</v>
      </c>
    </row>
    <row r="80" spans="1:13" x14ac:dyDescent="0.25">
      <c r="A80" s="4"/>
      <c r="B80" s="32">
        <v>72</v>
      </c>
      <c r="C80" s="34" t="s">
        <v>385</v>
      </c>
      <c r="D80" s="16">
        <v>4</v>
      </c>
      <c r="E80" s="17">
        <v>1.04E-2</v>
      </c>
      <c r="F80" s="8">
        <f t="shared" si="2"/>
        <v>4.1599999999999998E-2</v>
      </c>
      <c r="G80" s="43">
        <v>0</v>
      </c>
      <c r="H80" s="44">
        <v>308027</v>
      </c>
      <c r="I80" s="17" t="s">
        <v>399</v>
      </c>
      <c r="J80" s="17" t="s">
        <v>398</v>
      </c>
      <c r="K80" s="16" t="s">
        <v>317</v>
      </c>
      <c r="L80" s="17">
        <v>603</v>
      </c>
      <c r="M80" s="13" t="s">
        <v>384</v>
      </c>
    </row>
    <row r="81" spans="1:13" ht="25.5" x14ac:dyDescent="0.25">
      <c r="A81" s="4"/>
      <c r="B81" s="32">
        <v>73</v>
      </c>
      <c r="C81" s="34" t="s">
        <v>207</v>
      </c>
      <c r="D81" s="16">
        <v>14</v>
      </c>
      <c r="E81" s="17">
        <v>6.3E-3</v>
      </c>
      <c r="F81" s="8">
        <f t="shared" si="2"/>
        <v>8.8200000000000001E-2</v>
      </c>
      <c r="G81" s="43">
        <v>0</v>
      </c>
      <c r="H81" s="44">
        <v>228886</v>
      </c>
      <c r="I81" s="17" t="s">
        <v>351</v>
      </c>
      <c r="J81" s="17" t="s">
        <v>350</v>
      </c>
      <c r="K81" s="16" t="s">
        <v>317</v>
      </c>
      <c r="L81" s="17">
        <v>603</v>
      </c>
      <c r="M81" s="13" t="s">
        <v>99</v>
      </c>
    </row>
    <row r="82" spans="1:13" x14ac:dyDescent="0.25">
      <c r="A82" s="4"/>
      <c r="B82" s="32">
        <v>74</v>
      </c>
      <c r="C82" s="34" t="s">
        <v>208</v>
      </c>
      <c r="D82" s="16">
        <v>1</v>
      </c>
      <c r="E82" s="17">
        <v>0.1</v>
      </c>
      <c r="F82" s="8">
        <f t="shared" si="2"/>
        <v>0.1</v>
      </c>
      <c r="G82" s="43">
        <v>0</v>
      </c>
      <c r="H82" s="44">
        <v>3861243</v>
      </c>
      <c r="I82" s="17" t="s">
        <v>353</v>
      </c>
      <c r="J82" s="17" t="s">
        <v>352</v>
      </c>
      <c r="K82" s="16" t="s">
        <v>314</v>
      </c>
      <c r="L82" s="17">
        <v>603</v>
      </c>
      <c r="M82" s="13" t="s">
        <v>100</v>
      </c>
    </row>
    <row r="83" spans="1:13" x14ac:dyDescent="0.25">
      <c r="A83" s="4"/>
      <c r="B83" s="32">
        <v>75</v>
      </c>
      <c r="C83" s="34" t="s">
        <v>209</v>
      </c>
      <c r="D83" s="16">
        <v>1</v>
      </c>
      <c r="E83" s="17">
        <v>0.1</v>
      </c>
      <c r="F83" s="8">
        <f t="shared" si="2"/>
        <v>0.1</v>
      </c>
      <c r="G83" s="43">
        <v>0</v>
      </c>
      <c r="H83" s="44">
        <v>217619</v>
      </c>
      <c r="I83" s="17" t="s">
        <v>355</v>
      </c>
      <c r="J83" s="17" t="s">
        <v>354</v>
      </c>
      <c r="K83" s="16" t="s">
        <v>314</v>
      </c>
      <c r="L83" s="17">
        <v>603</v>
      </c>
      <c r="M83" s="13" t="s">
        <v>101</v>
      </c>
    </row>
    <row r="84" spans="1:13" x14ac:dyDescent="0.25">
      <c r="A84" s="4"/>
      <c r="B84" s="32">
        <v>76</v>
      </c>
      <c r="C84" s="34" t="s">
        <v>210</v>
      </c>
      <c r="D84" s="16">
        <v>7</v>
      </c>
      <c r="E84" s="17">
        <v>1.04E-2</v>
      </c>
      <c r="F84" s="8">
        <f t="shared" si="2"/>
        <v>7.2800000000000004E-2</v>
      </c>
      <c r="G84" s="43">
        <v>0</v>
      </c>
      <c r="H84" s="44">
        <v>325526</v>
      </c>
      <c r="I84" s="17" t="s">
        <v>357</v>
      </c>
      <c r="J84" s="17" t="s">
        <v>356</v>
      </c>
      <c r="K84" s="16" t="s">
        <v>317</v>
      </c>
      <c r="L84" s="17">
        <v>603</v>
      </c>
      <c r="M84" s="13" t="s">
        <v>102</v>
      </c>
    </row>
    <row r="85" spans="1:13" x14ac:dyDescent="0.25">
      <c r="A85" s="4"/>
      <c r="B85" s="32">
        <v>77</v>
      </c>
      <c r="C85" s="34" t="s">
        <v>372</v>
      </c>
      <c r="D85" s="16">
        <v>9</v>
      </c>
      <c r="E85" s="17">
        <v>1.4999999999999999E-2</v>
      </c>
      <c r="F85" s="8">
        <f t="shared" si="2"/>
        <v>0.13500000000000001</v>
      </c>
      <c r="G85" s="43">
        <v>0</v>
      </c>
      <c r="H85" s="44">
        <v>2153378</v>
      </c>
      <c r="I85" s="17" t="s">
        <v>359</v>
      </c>
      <c r="J85" s="17" t="s">
        <v>358</v>
      </c>
      <c r="K85" s="16" t="s">
        <v>314</v>
      </c>
      <c r="L85" s="17">
        <v>603</v>
      </c>
      <c r="M85" s="13" t="s">
        <v>103</v>
      </c>
    </row>
    <row r="86" spans="1:13" x14ac:dyDescent="0.25">
      <c r="A86" s="4"/>
      <c r="B86" s="32">
        <v>78</v>
      </c>
      <c r="C86" s="34" t="s">
        <v>211</v>
      </c>
      <c r="D86" s="16">
        <v>2</v>
      </c>
      <c r="E86" s="17">
        <v>0.51</v>
      </c>
      <c r="F86" s="8">
        <f t="shared" si="2"/>
        <v>1.02</v>
      </c>
      <c r="G86" s="43">
        <v>0</v>
      </c>
      <c r="H86" s="44">
        <v>65603</v>
      </c>
      <c r="I86" s="17" t="s">
        <v>25</v>
      </c>
      <c r="J86" s="17" t="s">
        <v>360</v>
      </c>
      <c r="K86" s="16" t="s">
        <v>314</v>
      </c>
      <c r="L86" s="17">
        <v>1210</v>
      </c>
      <c r="M86" s="13" t="s">
        <v>104</v>
      </c>
    </row>
    <row r="87" spans="1:13" x14ac:dyDescent="0.25">
      <c r="A87" s="4"/>
      <c r="B87" s="32">
        <v>79</v>
      </c>
      <c r="C87" s="34" t="s">
        <v>212</v>
      </c>
      <c r="D87" s="16">
        <v>2</v>
      </c>
      <c r="E87" s="17">
        <v>0.01</v>
      </c>
      <c r="F87" s="8">
        <f t="shared" si="2"/>
        <v>0.02</v>
      </c>
      <c r="G87" s="43">
        <v>0</v>
      </c>
      <c r="H87" s="44">
        <v>115380</v>
      </c>
      <c r="I87" s="17" t="s">
        <v>362</v>
      </c>
      <c r="J87" s="17" t="s">
        <v>361</v>
      </c>
      <c r="K87" s="16" t="s">
        <v>317</v>
      </c>
      <c r="L87" s="17">
        <v>603</v>
      </c>
      <c r="M87" s="13" t="s">
        <v>105</v>
      </c>
    </row>
    <row r="88" spans="1:13" x14ac:dyDescent="0.25">
      <c r="A88" s="4"/>
      <c r="B88" s="32">
        <v>80</v>
      </c>
      <c r="C88" s="34" t="s">
        <v>213</v>
      </c>
      <c r="D88" s="16">
        <v>2</v>
      </c>
      <c r="E88" s="17">
        <v>1.4E-2</v>
      </c>
      <c r="F88" s="8">
        <f t="shared" si="2"/>
        <v>2.8000000000000001E-2</v>
      </c>
      <c r="G88" s="43">
        <v>0</v>
      </c>
      <c r="H88" s="44">
        <v>5838</v>
      </c>
      <c r="I88" s="17" t="s">
        <v>364</v>
      </c>
      <c r="J88" s="17" t="s">
        <v>363</v>
      </c>
      <c r="K88" s="16" t="s">
        <v>317</v>
      </c>
      <c r="L88" s="17">
        <v>603</v>
      </c>
      <c r="M88" s="13" t="s">
        <v>106</v>
      </c>
    </row>
    <row r="89" spans="1:13" x14ac:dyDescent="0.25">
      <c r="A89" s="4"/>
      <c r="B89" s="32">
        <v>81</v>
      </c>
      <c r="C89" s="34" t="s">
        <v>214</v>
      </c>
      <c r="D89" s="16">
        <v>1</v>
      </c>
      <c r="E89" s="17">
        <v>1.1499999999999999</v>
      </c>
      <c r="F89" s="8">
        <f t="shared" si="2"/>
        <v>1.1499999999999999</v>
      </c>
      <c r="G89" s="43">
        <v>0</v>
      </c>
      <c r="H89" s="44">
        <v>13419</v>
      </c>
      <c r="I89" s="17" t="s">
        <v>366</v>
      </c>
      <c r="J89" s="17" t="s">
        <v>365</v>
      </c>
      <c r="K89" s="16" t="s">
        <v>314</v>
      </c>
      <c r="L89" s="17">
        <v>805</v>
      </c>
      <c r="M89" s="13" t="s">
        <v>107</v>
      </c>
    </row>
    <row r="90" spans="1:13" x14ac:dyDescent="0.25">
      <c r="A90" s="4"/>
      <c r="B90" s="32"/>
      <c r="C90" s="34" t="s">
        <v>108</v>
      </c>
      <c r="D90" s="16">
        <v>0</v>
      </c>
      <c r="E90" s="17">
        <v>0.26</v>
      </c>
      <c r="F90" s="8">
        <f t="shared" ref="F90" si="3">D90*E90</f>
        <v>0</v>
      </c>
      <c r="G90" s="47"/>
      <c r="H90" s="17"/>
      <c r="I90" s="17" t="s">
        <v>401</v>
      </c>
      <c r="J90" s="17"/>
      <c r="K90" s="16"/>
      <c r="L90" s="17"/>
      <c r="M90" s="13"/>
    </row>
    <row r="91" spans="1:13" x14ac:dyDescent="0.25">
      <c r="A91" s="4"/>
      <c r="B91" s="32"/>
      <c r="C91" s="34" t="s">
        <v>109</v>
      </c>
      <c r="D91" s="16">
        <v>0</v>
      </c>
      <c r="E91" s="17">
        <v>3</v>
      </c>
      <c r="F91" s="8">
        <f t="shared" ref="F91" si="4">D91*E91</f>
        <v>0</v>
      </c>
      <c r="G91" s="45">
        <v>0</v>
      </c>
      <c r="H91" s="44"/>
      <c r="I91" s="17" t="s">
        <v>401</v>
      </c>
      <c r="J91" s="17"/>
      <c r="K91" s="16"/>
      <c r="L91" s="17"/>
      <c r="M91" s="13"/>
    </row>
    <row r="92" spans="1:13" ht="15.75" thickBot="1" x14ac:dyDescent="0.3">
      <c r="A92" s="4"/>
      <c r="B92" s="33"/>
      <c r="C92" s="15" t="s">
        <v>19</v>
      </c>
      <c r="D92" s="12">
        <f>SUM(D9:D91)</f>
        <v>373</v>
      </c>
      <c r="E92" s="12"/>
      <c r="F92" s="35">
        <f>SUM(F9:F91)</f>
        <v>130.81268000000006</v>
      </c>
      <c r="G92" s="35"/>
      <c r="H92" s="12"/>
      <c r="I92" s="11"/>
      <c r="J92" s="11"/>
      <c r="K92" s="11"/>
      <c r="L92" s="11"/>
      <c r="M92" s="14"/>
    </row>
    <row r="93" spans="1:13" x14ac:dyDescent="0.25">
      <c r="A93" s="4"/>
      <c r="B93" s="27"/>
      <c r="C93" s="39" t="s">
        <v>31</v>
      </c>
      <c r="D93" s="40"/>
      <c r="E93" s="40"/>
      <c r="F93" s="41">
        <v>155.35907999999998</v>
      </c>
      <c r="G93" s="36"/>
      <c r="H93" s="28"/>
      <c r="I93" s="29"/>
      <c r="J93" s="29"/>
      <c r="K93" s="29"/>
      <c r="L93" s="29"/>
      <c r="M93" s="30"/>
    </row>
    <row r="94" spans="1:13" x14ac:dyDescent="0.25">
      <c r="A94" s="3"/>
      <c r="B94" s="3"/>
      <c r="C94" s="38" t="s">
        <v>14</v>
      </c>
      <c r="D94" s="23"/>
      <c r="E94" s="23"/>
      <c r="F94" s="25">
        <v>106.34217000000008</v>
      </c>
      <c r="G94" s="37"/>
      <c r="H94" s="3"/>
      <c r="I94" s="3"/>
      <c r="J94" s="3"/>
      <c r="K94" s="3"/>
    </row>
    <row r="95" spans="1:13" x14ac:dyDescent="0.25">
      <c r="A95" s="3"/>
      <c r="B95" s="3"/>
      <c r="C95" s="21" t="s">
        <v>18</v>
      </c>
      <c r="D95" s="23"/>
      <c r="E95" s="23"/>
      <c r="F95" s="25">
        <v>89.838479999999947</v>
      </c>
      <c r="G95" s="37"/>
      <c r="H95" s="3"/>
      <c r="I95" s="3"/>
      <c r="J95" s="3"/>
      <c r="K95" s="3"/>
    </row>
    <row r="96" spans="1:13" x14ac:dyDescent="0.25">
      <c r="C96" s="21" t="s">
        <v>17</v>
      </c>
      <c r="D96" s="23"/>
      <c r="E96" s="23"/>
      <c r="F96" s="25">
        <v>88.861449999999977</v>
      </c>
      <c r="G96" s="37"/>
      <c r="J96" s="3"/>
    </row>
    <row r="97" spans="2:10" ht="15.75" thickBot="1" x14ac:dyDescent="0.3">
      <c r="B97" t="s">
        <v>15</v>
      </c>
      <c r="C97" s="22" t="s">
        <v>16</v>
      </c>
      <c r="D97" s="24"/>
      <c r="E97" s="24"/>
      <c r="F97" s="26">
        <v>88.801049999999975</v>
      </c>
      <c r="G97" s="37"/>
      <c r="J97" s="3"/>
    </row>
    <row r="98" spans="2:10" x14ac:dyDescent="0.25">
      <c r="J98" s="3"/>
    </row>
    <row r="99" spans="2:10" x14ac:dyDescent="0.25">
      <c r="J99" s="3"/>
    </row>
  </sheetData>
  <mergeCells count="1">
    <mergeCell ref="B2:M2"/>
  </mergeCells>
  <hyperlinks>
    <hyperlink ref="M17" r:id="rId1" display="http://www.digikey.com/product-detail/en/LM2940IMP-10%2FNOPB/LM2940IMP-10CT-ND/363885"/>
    <hyperlink ref="M16" r:id="rId2" display="http://www.digikey.com/product-detail/en/MPMT5002AT1/MPMT-25K%2F25KCT-ND/1771077"/>
    <hyperlink ref="M15" r:id="rId3" display="http://www.digikey.com/product-detail/en/DAC108S085CIMT%2FNOPB/DAC108S085CIMT-ND/1658142"/>
    <hyperlink ref="M14" r:id="rId4" display="http://www.digikey.com/product-detail/en/ADA4051-1AKSZ-R7/ADA4051-1AKSZ-R7CT-ND/2264661"/>
    <hyperlink ref="M13" r:id="rId5" display="http://www.digikey.com/product-detail/en/CRCW121049R9FKEA/541-49.9AACT-ND/1182399"/>
    <hyperlink ref="M12" r:id="rId6" display="http://www.digikey.com/product-detail/en/CRCW2512100RFKEG/541-100AFCT-ND/1178705"/>
    <hyperlink ref="M11" r:id="rId7" display="http://www.digikey.com/product-detail/en/ATSAM3U4CA-AU/ATSAM3U4CA-AU-ND/2177035"/>
    <hyperlink ref="M10" r:id="rId8" display="http://www.digikey.com/product-detail/en/MAX1685EEE%2B/MAX1685EEE%2B-ND/947774"/>
    <hyperlink ref="M9" r:id="rId9" display="http://www.digikey.com/product-detail/en/MAX5925DEUB%2B/MAX5925DEUB%2B-ND/1937487"/>
    <hyperlink ref="M73" r:id="rId10"/>
    <hyperlink ref="M44" r:id="rId11"/>
    <hyperlink ref="M56" r:id="rId12"/>
    <hyperlink ref="M57" r:id="rId13"/>
    <hyperlink ref="M80" r:id="rId14"/>
    <hyperlink ref="M78" r:id="rId15"/>
    <hyperlink ref="M76" r:id="rId16"/>
  </hyperlinks>
  <pageMargins left="0.7" right="0.7" top="0.75" bottom="0.75" header="0.3" footer="0.3"/>
  <pageSetup paperSize="9" scale="49" orientation="landscape" r:id="rId17"/>
  <drawing r:id="rId18"/>
  <legacyDrawing r:id="rId19"/>
  <mc:AlternateContent xmlns:mc="http://schemas.openxmlformats.org/markup-compatibility/2006">
    <mc:Choice Requires="x14">
      <controls>
        <mc:AlternateContent xmlns:mc="http://schemas.openxmlformats.org/markup-compatibility/2006">
          <mc:Choice Requires="x14">
            <control shapeId="1025" r:id="rId20" name="Button 1">
              <controlPr defaultSize="0" print="0" autoFill="0" autoPict="0" macro="[0]!fetch_data">
                <anchor moveWithCells="1" sizeWithCells="1">
                  <from>
                    <xdr:col>2</xdr:col>
                    <xdr:colOff>1076325</xdr:colOff>
                    <xdr:row>2</xdr:row>
                    <xdr:rowOff>95250</xdr:rowOff>
                  </from>
                  <to>
                    <xdr:col>7</xdr:col>
                    <xdr:colOff>457200</xdr:colOff>
                    <xdr:row>4</xdr:row>
                    <xdr:rowOff>95250</xdr:rowOff>
                  </to>
                </anchor>
              </controlPr>
            </control>
          </mc:Choice>
        </mc:AlternateContent>
        <mc:AlternateContent xmlns:mc="http://schemas.openxmlformats.org/markup-compatibility/2006">
          <mc:Choice Requires="x14">
            <control shapeId="1027" r:id="rId21" name="Button 3">
              <controlPr defaultSize="0" print="0" autoFill="0" autoPict="0" macro="[0]!stock_operation">
                <anchor moveWithCells="1" sizeWithCells="1">
                  <from>
                    <xdr:col>7</xdr:col>
                    <xdr:colOff>676275</xdr:colOff>
                    <xdr:row>2</xdr:row>
                    <xdr:rowOff>95250</xdr:rowOff>
                  </from>
                  <to>
                    <xdr:col>9</xdr:col>
                    <xdr:colOff>1047750</xdr:colOff>
                    <xdr:row>4</xdr:row>
                    <xdr:rowOff>95250</xdr:rowOff>
                  </to>
                </anchor>
              </controlPr>
            </control>
          </mc:Choice>
        </mc:AlternateContent>
        <mc:AlternateContent xmlns:mc="http://schemas.openxmlformats.org/markup-compatibility/2006">
          <mc:Choice Requires="x14">
            <control shapeId="1028" r:id="rId22" name="Button 4">
              <controlPr defaultSize="0" print="0" autoFill="0" autoPict="0" macro="[0]!open_stock">
                <anchor moveWithCells="1" sizeWithCells="1">
                  <from>
                    <xdr:col>12</xdr:col>
                    <xdr:colOff>657225</xdr:colOff>
                    <xdr:row>2</xdr:row>
                    <xdr:rowOff>95250</xdr:rowOff>
                  </from>
                  <to>
                    <xdr:col>12</xdr:col>
                    <xdr:colOff>4352925</xdr:colOff>
                    <xdr:row>4</xdr:row>
                    <xdr:rowOff>95250</xdr:rowOff>
                  </to>
                </anchor>
              </controlPr>
            </control>
          </mc:Choice>
        </mc:AlternateContent>
        <mc:AlternateContent xmlns:mc="http://schemas.openxmlformats.org/markup-compatibility/2006">
          <mc:Choice Requires="x14">
            <control shapeId="1029" r:id="rId23" name="Button 5">
              <controlPr defaultSize="0" print="0" autoFill="0" autoPict="0" macro="[0]!stock_take">
                <anchor moveWithCells="1" sizeWithCells="1">
                  <from>
                    <xdr:col>9</xdr:col>
                    <xdr:colOff>1247775</xdr:colOff>
                    <xdr:row>2</xdr:row>
                    <xdr:rowOff>95250</xdr:rowOff>
                  </from>
                  <to>
                    <xdr:col>12</xdr:col>
                    <xdr:colOff>409575</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2013-12-23T10:45:03Z</dcterms:modified>
</cp:coreProperties>
</file>