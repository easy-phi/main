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40" yWindow="90" windowWidth="28335" windowHeight="14505"/>
  </bookViews>
  <sheets>
    <sheet name="BoM" sheetId="1" r:id="rId1"/>
    <sheet name="Feuil2" sheetId="2" r:id="rId2"/>
    <sheet name="Feuil3" sheetId="3" r:id="rId3"/>
  </sheets>
  <calcPr calcId="145621"/>
</workbook>
</file>

<file path=xl/calcChain.xml><?xml version="1.0" encoding="utf-8"?>
<calcChain xmlns="http://schemas.openxmlformats.org/spreadsheetml/2006/main">
  <c r="F51" i="1" l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D52" i="1" l="1"/>
  <c r="F52" i="1" l="1"/>
</calcChain>
</file>

<file path=xl/sharedStrings.xml><?xml version="1.0" encoding="utf-8"?>
<sst xmlns="http://schemas.openxmlformats.org/spreadsheetml/2006/main" count="259" uniqueCount="231">
  <si>
    <t>Item</t>
  </si>
  <si>
    <t>Qty</t>
  </si>
  <si>
    <t>Description</t>
  </si>
  <si>
    <t>Manufacturer P/N</t>
  </si>
  <si>
    <t>Manufacturer</t>
  </si>
  <si>
    <t>Internet link</t>
  </si>
  <si>
    <t>Packaging</t>
  </si>
  <si>
    <t>Schematics Ref</t>
  </si>
  <si>
    <t>Project components for 1 prototype</t>
  </si>
  <si>
    <t>Prototype quantity :</t>
  </si>
  <si>
    <t>Total price</t>
  </si>
  <si>
    <t>Stock</t>
  </si>
  <si>
    <t>Price/chip</t>
  </si>
  <si>
    <t>Total for 100 prototypes :</t>
  </si>
  <si>
    <t xml:space="preserve"> </t>
  </si>
  <si>
    <t>Total for 10k "prototypes" :</t>
  </si>
  <si>
    <t>Total for 5000 prototypes :</t>
  </si>
  <si>
    <t>Total for 1000 prototypes :</t>
  </si>
  <si>
    <t>Total:</t>
  </si>
  <si>
    <t>http://www.digikey.com/product-detail/en/TPS2044BDR/296-26909-1-ND/2255215</t>
  </si>
  <si>
    <t>Texas Instruments</t>
  </si>
  <si>
    <t>TPS2044BDR</t>
  </si>
  <si>
    <t>IC PWR DIST SWITCH QUAD 16-SOIC</t>
  </si>
  <si>
    <t>16-SOIC N</t>
  </si>
  <si>
    <t>http://www.digikey.com/product-detail/en/USBLC6-2SC6/497-5235-1-ND/1121688</t>
  </si>
  <si>
    <t>STMicroelectronics</t>
  </si>
  <si>
    <t>USBLC6-2SC6</t>
  </si>
  <si>
    <t>SOT-23-6</t>
  </si>
  <si>
    <t>http://www.digikey.com/product-detail/en/8-1393640-3/A101995-ND/2268163</t>
  </si>
  <si>
    <t>TE Connectivity</t>
  </si>
  <si>
    <t>8-1393640-3</t>
  </si>
  <si>
    <t>EUROCARD TYPE C</t>
  </si>
  <si>
    <t>http://www.digikey.com/product-detail/en/AU-Y1007-R/AE9925-ND/821679</t>
  </si>
  <si>
    <t>Assmann WSW Components</t>
  </si>
  <si>
    <t>AU-Y1007-R</t>
  </si>
  <si>
    <t>CONN USB RTANG FEMALE TYPE B PCB</t>
  </si>
  <si>
    <t>http://www.digikey.com/product-detail/en/R-535.0PA/945-1598-5-ND/2302964</t>
  </si>
  <si>
    <t>http://www.digikey.com/product-detail/en/SMAJ12A/SMAJ12ALFCT-ND/762482</t>
  </si>
  <si>
    <t>http://www.digikey.com/product-detail/en/SMLVT3V3/497-2496-1-ND/603878</t>
  </si>
  <si>
    <t>Recom Power</t>
  </si>
  <si>
    <t>R-535.0PA</t>
  </si>
  <si>
    <t>CONV DC/DC 3A 6.5-18VIN 5V</t>
  </si>
  <si>
    <t>12-SIP Module</t>
  </si>
  <si>
    <t>Littelfuse Inc</t>
  </si>
  <si>
    <t>SMAJ12A</t>
  </si>
  <si>
    <t>DIODE TVS 12V 400W UNI 5% SMA</t>
  </si>
  <si>
    <t>SMA</t>
  </si>
  <si>
    <t>SMLVT3V3</t>
  </si>
  <si>
    <t>SMB</t>
  </si>
  <si>
    <t>Cypress Semiconductor Corp</t>
  </si>
  <si>
    <t>56-QFN (8x8) Sawn</t>
  </si>
  <si>
    <t>http://www.digikey.com/product-detail/en/MAX1685EEE%2B/MAX1685EEE%2B-ND/947774</t>
  </si>
  <si>
    <t>http://www.digikey.com/product-detail/en/ERJ-3EKF1502V/P15.0KHCT-ND/198172</t>
  </si>
  <si>
    <t>http://www.digikey.com/product-detail/en/ERJ-3EKF1003V/P100KHCT-ND/198110</t>
  </si>
  <si>
    <t>http://www.digikey.com/product-detail/en/C1206C107M9PACTU/399-5620-1-ND/2057834</t>
  </si>
  <si>
    <t>http://www.digikey.com/product-detail/en/LMK107B7225KA-T/587-2983-1-ND/2714176</t>
  </si>
  <si>
    <t>http://www.digikey.com/product-detail/en/C0603C104K4RACTU/399-1096-1-ND/411371</t>
  </si>
  <si>
    <t>http://www.digikey.com/product-detail/en/C0603C103K5RACTU/399-1091-1-ND/411366</t>
  </si>
  <si>
    <t>http://www.digikey.com/product-detail/en/C0603C120J5GACTU/399-1050-1-ND/411325</t>
  </si>
  <si>
    <t>http://www.digikey.com/product-detail/en/NX3225SA-24.000000MHZ-STD-CSR-1/644-1052-1-ND/1128924</t>
  </si>
  <si>
    <t>Maxim Integrated</t>
  </si>
  <si>
    <t>MAX1685EEE+</t>
  </si>
  <si>
    <t>IC REG BUCK SYNC 3.3V/ADJ 16QSOP</t>
  </si>
  <si>
    <t>16-QSOP</t>
  </si>
  <si>
    <t>Panasonic Electronic Components</t>
  </si>
  <si>
    <t>ERJ-3EKF1003V</t>
  </si>
  <si>
    <t>RES 100K OHM 1/10W 1% 0603 SMD</t>
  </si>
  <si>
    <t>0603 (1608 Metric)</t>
  </si>
  <si>
    <t>ERJ-3EKF1502V</t>
  </si>
  <si>
    <t>Kemet</t>
  </si>
  <si>
    <t>C1206C107M9PACTU</t>
  </si>
  <si>
    <t>CAP CER 100UF 6.3V 20% X5R 1206</t>
  </si>
  <si>
    <t>1206 (3216 Metric)</t>
  </si>
  <si>
    <t>Taiyo Yuden</t>
  </si>
  <si>
    <t>LMK107B7225KA-T</t>
  </si>
  <si>
    <t>CAP CER 2.2UF 10V 10% X7R 0603</t>
  </si>
  <si>
    <t>C0603C104K4RACTU</t>
  </si>
  <si>
    <t>CAP CER 0.1UF 16V 10% X7R 0603</t>
  </si>
  <si>
    <t>C0603C103K5RACTU</t>
  </si>
  <si>
    <t>CAP CER 10000PF 50V 10% X7R 0603</t>
  </si>
  <si>
    <t>C0603C120J5GACTU</t>
  </si>
  <si>
    <t>CAP CER 12PF 50V 5% NP0 0603</t>
  </si>
  <si>
    <t>NDK</t>
  </si>
  <si>
    <t>NX3225SA-24.000000MHZ-STD-CSR-1</t>
  </si>
  <si>
    <t>4-SMD, No Lead (DFN, LCC)</t>
  </si>
  <si>
    <t>http://www.digikey.com/product-detail/en/EMK325BJ476MM-T/587-1436-1-ND/1004067</t>
  </si>
  <si>
    <t>EMK325BJ476MM-T</t>
  </si>
  <si>
    <t>CAP CER 47UF 16V 20% X5R 1210</t>
  </si>
  <si>
    <t>1210 (3225 Metric)</t>
  </si>
  <si>
    <t>http://www.digikey.com/product-detail/en/ERJ-3EKF2001V/P2.00KHCT-ND/198219</t>
  </si>
  <si>
    <t>ERJ-3EKF2001V</t>
  </si>
  <si>
    <t>http://www.digikey.com/product-detail/en/FOX924B-10.000/631-1067-1-ND/1024772</t>
  </si>
  <si>
    <t>Fox Electronics</t>
  </si>
  <si>
    <t>FOX924B-10.000</t>
  </si>
  <si>
    <t>OSCILLATOR TCXO 10.0MHZ 3.3V SMD</t>
  </si>
  <si>
    <t>http://www.digikey.com/product-detail/en/EMK107B7105KA-T/587-1241-1-ND/931018</t>
  </si>
  <si>
    <t>EMK107B7105KA-T</t>
  </si>
  <si>
    <t>CAP CER 1UF 16V 10% X7R 0603</t>
  </si>
  <si>
    <t>http://www.digikey.com/product-detail/en/MBRS340T3G/MBRS340T3GOSCT-ND/918009</t>
  </si>
  <si>
    <t>http://www.digikey.com/product-detail/en/DR1050-100-R/513-1415-1-ND/1555564</t>
  </si>
  <si>
    <t>ON Semiconductor</t>
  </si>
  <si>
    <t>MBRS340T3G</t>
  </si>
  <si>
    <t>DIODE SCHOTTKY 40V 4A SMC</t>
  </si>
  <si>
    <t>SMC</t>
  </si>
  <si>
    <t>Cooper Bussmann</t>
  </si>
  <si>
    <t>DR1050-100-R</t>
  </si>
  <si>
    <t>INDUCTOR POWER SHIELD 10UH SMD</t>
  </si>
  <si>
    <t>http://www.digikey.com/product-detail/en/SN65LVDM176DGK/296-6903-5-ND/371612</t>
  </si>
  <si>
    <t>SN65LVDM176DGK</t>
  </si>
  <si>
    <t>U12 U19</t>
  </si>
  <si>
    <t>U11 U18</t>
  </si>
  <si>
    <t>U13 U14 U15 U16 U17 U20 U21 U22 U23 U24</t>
  </si>
  <si>
    <t>U5</t>
  </si>
  <si>
    <t>U2 U3 U6 U7 U8</t>
  </si>
  <si>
    <t>U1</t>
  </si>
  <si>
    <t>U4</t>
  </si>
  <si>
    <t>D1</t>
  </si>
  <si>
    <t>D2 D3 D4 D5 D6</t>
  </si>
  <si>
    <t>R6 R18 R19 R31</t>
  </si>
  <si>
    <t>R7 R8 R9 R10 R11 R12 R13 R14 R15 R16 R17 R20 R21 R22 R23 R24 R25 R26 R27 R28 R29 R30</t>
  </si>
  <si>
    <t>C1 C10 C11</t>
  </si>
  <si>
    <t>C16 C32</t>
  </si>
  <si>
    <t>C17 C18 C33 C34</t>
  </si>
  <si>
    <t>X1 X2</t>
  </si>
  <si>
    <t>U9</t>
  </si>
  <si>
    <t>D7</t>
  </si>
  <si>
    <t>L1</t>
  </si>
  <si>
    <t>U10</t>
  </si>
  <si>
    <t>R32</t>
  </si>
  <si>
    <t>http://www.digikey.com/product-detail/en/ERJ-3EKF1000V/P100HCT-ND/198109</t>
  </si>
  <si>
    <t>RES 15K OHM 1/10W 1% 0603 SMD</t>
  </si>
  <si>
    <t>RES 2K OHM 1/10W 1% 0603 SMD</t>
  </si>
  <si>
    <t>ERJ-3EKF1000V</t>
  </si>
  <si>
    <t>RES 100 OHM 1/10W 1% 0603 SMD</t>
  </si>
  <si>
    <t>http://www.digikey.com/product-detail/en/0015244745/WM9133-ND/946252</t>
  </si>
  <si>
    <t>Molex Inc</t>
  </si>
  <si>
    <t>CONN HEADER VERT 4POS .200 TIN</t>
  </si>
  <si>
    <t>http://www.digikey.com/product-detail/en/292303-1/A31726-ND/773786</t>
  </si>
  <si>
    <t>292303-1</t>
  </si>
  <si>
    <t>CONN USB RECEPT R/A TYPE A 4POS</t>
  </si>
  <si>
    <t>C3 C19 C24 C26 C28 C35 C40 C42 C44 C53</t>
  </si>
  <si>
    <t>J1</t>
  </si>
  <si>
    <t>J2</t>
  </si>
  <si>
    <t>IC HS DIFF LINE TXRX 8VSSOP</t>
  </si>
  <si>
    <t>http://www.digikey.com/product-detail/en/CY7C65631-56LTXC/428-3034-ND/2297069</t>
  </si>
  <si>
    <t>CY7C65631-56LTXC</t>
  </si>
  <si>
    <t>IC USB HUB CTLR 56-EPAD6.1X6.1</t>
  </si>
  <si>
    <t>http://www.digikey.com/product-detail/en/VF-S250-12A/102-2165-ND/2352691</t>
  </si>
  <si>
    <t>POWER SUPPLY 250W 12V U-FRAME</t>
  </si>
  <si>
    <t>http://www.digikey.com/product-detail/en/LM73CIMK-0%2FNOPB/LM73CIMK-0%2FNOPBCT-ND/953534</t>
  </si>
  <si>
    <t>http://www.digikey.com/product-detail/en/ACS713ELCTR-30A-T/620-1193-1-ND/1284610</t>
  </si>
  <si>
    <t>LM73CIMK-0/NOPB</t>
  </si>
  <si>
    <t>DIGITAL TS W/SMBUS INTERFACE</t>
  </si>
  <si>
    <t>TSOT-23-6</t>
  </si>
  <si>
    <t>Allegro MicroSystems, LLC</t>
  </si>
  <si>
    <t>ACS713ELCTR-30A-T</t>
  </si>
  <si>
    <t>SENSOR CURRENT 30A 5V UNI 8-SOIC</t>
  </si>
  <si>
    <t>8-SOIC (0.154", 3.90mm Width)</t>
  </si>
  <si>
    <t>http://www.digikey.com/product-detail/en/ATMEGA32U4-AUR/ATMEGA32U4-AURCT-ND/3440960</t>
  </si>
  <si>
    <t>U28</t>
  </si>
  <si>
    <t>U27</t>
  </si>
  <si>
    <t>U29</t>
  </si>
  <si>
    <t>Atmel</t>
  </si>
  <si>
    <t>ATMEGA32U4-AUR</t>
  </si>
  <si>
    <t>IC MCU 8BIT 32KB FLASH 44TQFP</t>
  </si>
  <si>
    <t>44-TQFP</t>
  </si>
  <si>
    <t>C6 C63</t>
  </si>
  <si>
    <t>http://www.digikey.com/product-detail/en/0805YD106KAT2A/478-5165-1-ND/1913255</t>
  </si>
  <si>
    <t>C49 C54</t>
  </si>
  <si>
    <t>http://www.digikey.com/product-detail/en/ABM8G-16.000MHZ-18-D2Y-T/535-10267-1-ND/2218080</t>
  </si>
  <si>
    <t>X3</t>
  </si>
  <si>
    <t>http://www.digikey.com/product-detail/en/GRM1885C1H180JA01D/490-1409-1-ND/587631</t>
  </si>
  <si>
    <t>C58 C59</t>
  </si>
  <si>
    <t>http://www.digikey.com/product-detail/en/LTST-C190KGKT/160-1435-1-ND/386814</t>
  </si>
  <si>
    <t>D8 D9 D10</t>
  </si>
  <si>
    <t>http://www.digikey.com/product-detail/en/ERJ-3EKF4701V/P4.70KHCT-ND/1746782</t>
  </si>
  <si>
    <t>Lite-On Inc</t>
  </si>
  <si>
    <t>LTST-C190KGKT</t>
  </si>
  <si>
    <t>LED GREEN CLEAR 0603 SMD</t>
  </si>
  <si>
    <t>ERJ-3EKF4701V</t>
  </si>
  <si>
    <t>RES 4.7K OHM 1/10W 1% 0603 SMD</t>
  </si>
  <si>
    <t>AVX Corporation</t>
  </si>
  <si>
    <t>0805YD106KAT2A</t>
  </si>
  <si>
    <t>CAP CER 10UF 16V 10% X5R 0805</t>
  </si>
  <si>
    <t>0805 (2012 Metric)</t>
  </si>
  <si>
    <t>Murata Electronics North America</t>
  </si>
  <si>
    <t>GRM1885C1H180JA01D</t>
  </si>
  <si>
    <t>CAP CER 18PF 50V 5% NP0 0603</t>
  </si>
  <si>
    <t>Abracon Corporation</t>
  </si>
  <si>
    <t>ABM8G-16.000MHZ-18-D2Y-T</t>
  </si>
  <si>
    <t>http://www.digikey.com/product-detail/en/BLM21PG221SN1D/490-1054-1-ND/574418</t>
  </si>
  <si>
    <t>FB1</t>
  </si>
  <si>
    <t>http://www.digikey.com/product-detail/en/RC0603FR-0722RL/311-22.0HRCT-ND/730002</t>
  </si>
  <si>
    <t>R44 R45</t>
  </si>
  <si>
    <t>Yageo</t>
  </si>
  <si>
    <t>RC0603FR-0722RL</t>
  </si>
  <si>
    <t>RES 22.0 OHM 1/10W 1% 0603 SMD</t>
  </si>
  <si>
    <t>BLM21PG221SN1D</t>
  </si>
  <si>
    <t>FERRITE CHIP 220 OHM 0805</t>
  </si>
  <si>
    <t>CUI</t>
  </si>
  <si>
    <t>http://www.digikey.com/product-detail/en/ERJ-3EKF3002V/P30.0KHCT-ND/1746758</t>
  </si>
  <si>
    <t>http://www.digikey.com/product-detail/en/ERJ-3EKF1002V/P10.0KHCT-ND/198102</t>
  </si>
  <si>
    <t>ERJ-3EKF3002V</t>
  </si>
  <si>
    <t>RES 30K OHM 1/10W 1% 0603 SMD</t>
  </si>
  <si>
    <t>ERJ-3EKF1002V</t>
  </si>
  <si>
    <t>RES 10K OHM 1/10W 1% 0603 SMD</t>
  </si>
  <si>
    <t>http://www.digikey.com/product-detail/en/ERJ-3EKF1402V/P14.0KHCT-ND/198160</t>
  </si>
  <si>
    <t>R34</t>
  </si>
  <si>
    <t>C8 C20 C36 C25 C41 C27 C43 C29 C45</t>
  </si>
  <si>
    <t>C2 C4 C5 C7 C9 C12 C13 C14 C30 C15 C31 C21 C37 C22 C38 C23 C47 C39 C48 C46 C50 C51 C52 C55 C56 C57 C60 C61 C62 C64 C65 C66 C67</t>
  </si>
  <si>
    <t>R1 R2 R3 R4 R5 R37 R46 R47</t>
  </si>
  <si>
    <t>R33 R40 R41</t>
  </si>
  <si>
    <t>ERJ-3EKF1402V</t>
  </si>
  <si>
    <t>RES 14K OHM 1/10W 1% 0603 SMD</t>
  </si>
  <si>
    <t>http://www.digikey.com/product-detail/en/440054-8/A100040-ND/2077944</t>
  </si>
  <si>
    <t>P1</t>
  </si>
  <si>
    <t>440054-8</t>
  </si>
  <si>
    <t>CONN HEADER 8POS 2MM VERT T/H</t>
  </si>
  <si>
    <t>R35 R42 R43 R50</t>
  </si>
  <si>
    <t>R36 R38 R39 R48 R49 R51</t>
  </si>
  <si>
    <t>http://www.digikey.com/product-detail/en/NCP1117ST50T3G/NCP1117ST50T3GOSCT-ND/1967217</t>
  </si>
  <si>
    <t>U26</t>
  </si>
  <si>
    <t>IC ESD PROTECTION 5.25V SOT23-6</t>
  </si>
  <si>
    <t>8-MSOP</t>
  </si>
  <si>
    <t>NCP1117ST50T3G</t>
  </si>
  <si>
    <t>IC REG LDO 5V 1A SOT223</t>
  </si>
  <si>
    <t>SOT-223</t>
  </si>
  <si>
    <t>DIODE TRANSIL LOW VOLT 3.3V SMB</t>
  </si>
  <si>
    <t>CRYSTAL 24MHZ 8PF SMD</t>
  </si>
  <si>
    <t>CRYSTAL 16MHZ 18PF SMD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</si>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</sst>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</font>
    <font>
      <sz val="8"/>
      <color theme="1"/>
      <name val="Calibri"/>
      <family val="2"/>
      <scheme val="minor"/>
    </font>
    <font>
      <b/>
      <sz val="10"/>
      <color theme="4"/>
      <name val="Arial"/>
      <family val="2"/>
    </font>
    <font>
      <sz val="8"/>
      <color theme="4"/>
      <name val="Arial"/>
      <family val="2"/>
    </font>
    <font>
      <u/>
      <sz val="8"/>
      <color theme="10"/>
      <name val="Arial"/>
      <family val="2"/>
    </font>
    <font>
      <b/>
      <sz val="11"/>
      <color theme="1"/>
      <name val="Calibri"/>
      <family val="2"/>
      <scheme val="minor"/>
    </font>
    <font>
      <b/>
      <sz val="9"/>
      <color theme="4"/>
      <name val="Arial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2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40">
    <xf numFmtId="0" fontId="0" fillId="0" borderId="0" xfId="0"/>
    <xf numFmtId="0" fontId="1" fillId="0" borderId="0" xfId="0" applyFont="1" applyBorder="1" applyAlignment="1"/>
    <xf numFmtId="0" fontId="0" fillId="0" borderId="0" xfId="0" applyAlignment="1">
      <alignment horizontal="center"/>
    </xf>
    <xf numFmtId="0" fontId="0" fillId="0" borderId="0" xfId="0" applyBorder="1"/>
    <xf numFmtId="0" fontId="5" fillId="0" borderId="0" xfId="0" applyFont="1"/>
    <xf numFmtId="0" fontId="3" fillId="0" borderId="6" xfId="1" applyFont="1" applyBorder="1" applyAlignment="1">
      <alignment horizontal="center" vertical="center" wrapText="1"/>
    </xf>
    <xf numFmtId="0" fontId="3" fillId="0" borderId="7" xfId="1" applyFont="1" applyBorder="1" applyAlignment="1">
      <alignment horizontal="center" vertical="center" wrapText="1"/>
    </xf>
    <xf numFmtId="0" fontId="3" fillId="0" borderId="8" xfId="1" applyFont="1" applyBorder="1" applyAlignment="1">
      <alignment horizontal="center" vertical="center" wrapText="1"/>
    </xf>
    <xf numFmtId="0" fontId="7" fillId="2" borderId="1" xfId="1" applyFont="1" applyFill="1" applyBorder="1" applyAlignment="1">
      <alignment horizontal="center" vertical="center"/>
    </xf>
    <xf numFmtId="0" fontId="7" fillId="2" borderId="1" xfId="1" applyFont="1" applyFill="1" applyBorder="1" applyAlignment="1">
      <alignment horizontal="center" vertical="center" wrapText="1"/>
    </xf>
    <xf numFmtId="0" fontId="6" fillId="2" borderId="2" xfId="1" applyFont="1" applyFill="1" applyBorder="1" applyAlignment="1">
      <alignment horizontal="center" vertical="center" wrapText="1"/>
    </xf>
    <xf numFmtId="0" fontId="7" fillId="2" borderId="4" xfId="1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/>
    </xf>
    <xf numFmtId="0" fontId="4" fillId="2" borderId="3" xfId="2" applyFill="1" applyBorder="1" applyAlignment="1" applyProtection="1">
      <alignment horizontal="center" vertical="center"/>
    </xf>
    <xf numFmtId="0" fontId="8" fillId="2" borderId="5" xfId="2" applyFont="1" applyFill="1" applyBorder="1" applyAlignment="1" applyProtection="1">
      <alignment horizontal="center"/>
    </xf>
    <xf numFmtId="0" fontId="3" fillId="0" borderId="9" xfId="1" applyFont="1" applyBorder="1" applyAlignment="1">
      <alignment horizontal="center" vertical="center" wrapText="1"/>
    </xf>
    <xf numFmtId="0" fontId="6" fillId="2" borderId="10" xfId="1" applyFont="1" applyFill="1" applyBorder="1" applyAlignment="1">
      <alignment horizontal="center" vertical="center" wrapText="1"/>
    </xf>
    <xf numFmtId="0" fontId="6" fillId="2" borderId="11" xfId="1" applyFont="1" applyFill="1" applyBorder="1" applyAlignment="1">
      <alignment horizontal="center" vertical="center" wrapText="1"/>
    </xf>
    <xf numFmtId="0" fontId="6" fillId="2" borderId="12" xfId="1" applyFont="1" applyFill="1" applyBorder="1" applyAlignment="1">
      <alignment horizontal="center" vertical="center" wrapText="1"/>
    </xf>
    <xf numFmtId="0" fontId="7" fillId="2" borderId="13" xfId="1" applyFont="1" applyFill="1" applyBorder="1" applyAlignment="1">
      <alignment horizontal="center" vertical="center"/>
    </xf>
    <xf numFmtId="0" fontId="7" fillId="2" borderId="13" xfId="1" applyFont="1" applyFill="1" applyBorder="1" applyAlignment="1">
      <alignment horizontal="center" vertical="center" wrapText="1"/>
    </xf>
    <xf numFmtId="0" fontId="9" fillId="0" borderId="15" xfId="0" applyFont="1" applyBorder="1" applyAlignment="1">
      <alignment horizontal="center"/>
    </xf>
    <xf numFmtId="0" fontId="9" fillId="0" borderId="14" xfId="0" applyFont="1" applyBorder="1" applyAlignment="1">
      <alignment horizontal="center"/>
    </xf>
    <xf numFmtId="0" fontId="7" fillId="2" borderId="1" xfId="0" applyFont="1" applyFill="1" applyBorder="1" applyAlignment="1">
      <alignment horizontal="center" vertical="center" wrapText="1"/>
    </xf>
    <xf numFmtId="0" fontId="9" fillId="2" borderId="6" xfId="1" applyFont="1" applyFill="1" applyBorder="1" applyAlignment="1">
      <alignment horizontal="center" vertical="center" wrapText="1"/>
    </xf>
    <xf numFmtId="0" fontId="9" fillId="0" borderId="2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0" fontId="7" fillId="0" borderId="16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10" fillId="0" borderId="17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3" fontId="7" fillId="2" borderId="1" xfId="1" applyNumberFormat="1" applyFont="1" applyFill="1" applyBorder="1" applyAlignment="1">
      <alignment horizontal="center" vertical="center" wrapText="1"/>
    </xf>
    <xf numFmtId="3" fontId="7" fillId="2" borderId="13" xfId="1" applyNumberFormat="1" applyFont="1" applyFill="1" applyBorder="1" applyAlignment="1">
      <alignment horizontal="center" vertical="center" wrapText="1"/>
    </xf>
    <xf numFmtId="0" fontId="6" fillId="2" borderId="18" xfId="1" applyFont="1" applyFill="1" applyBorder="1" applyAlignment="1">
      <alignment horizontal="center" vertical="center" wrapText="1"/>
    </xf>
    <xf numFmtId="0" fontId="10" fillId="2" borderId="4" xfId="0" applyFont="1" applyFill="1" applyBorder="1" applyAlignment="1">
      <alignment horizontal="center"/>
    </xf>
    <xf numFmtId="0" fontId="6" fillId="2" borderId="1" xfId="1" applyFont="1" applyFill="1" applyBorder="1" applyAlignment="1">
      <alignment horizontal="center" vertical="center" wrapText="1"/>
    </xf>
    <xf numFmtId="0" fontId="4" fillId="0" borderId="3" xfId="2" applyBorder="1" applyAlignment="1" applyProtection="1">
      <alignment horizontal="center" vertical="center"/>
    </xf>
    <xf numFmtId="0" fontId="1" fillId="0" borderId="0" xfId="0" applyFont="1" applyBorder="1" applyAlignment="1">
      <alignment horizontal="center" vertical="center"/>
    </xf>
  </cellXfs>
  <cellStyles count="3">
    <cellStyle name="Lien hypertexte" xfId="2" builtinId="8"/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1009650</xdr:colOff>
          <xdr:row>2</xdr:row>
          <xdr:rowOff>66675</xdr:rowOff>
        </xdr:from>
        <xdr:to>
          <xdr:col>9</xdr:col>
          <xdr:colOff>1428750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 excel cells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digikey.com/product-detail/en/CY7C65631-56LTXC/428-3034-ND/2297069" TargetMode="External"/><Relationship Id="rId18" Type="http://schemas.openxmlformats.org/officeDocument/2006/relationships/hyperlink" Target="http://www.digikey.com/product-detail/en/MBRS340T3G/MBRS340T3GOSCT-ND/918009" TargetMode="External"/><Relationship Id="rId26" Type="http://schemas.openxmlformats.org/officeDocument/2006/relationships/hyperlink" Target="http://www.digikey.com/product-detail/en/BLM21PG221SN1D/490-1054-1-ND/574418" TargetMode="External"/><Relationship Id="rId3" Type="http://schemas.openxmlformats.org/officeDocument/2006/relationships/hyperlink" Target="http://www.digikey.com/product-detail/en/SMAJ12A/SMAJ12ALFCT-ND/762482" TargetMode="External"/><Relationship Id="rId21" Type="http://schemas.openxmlformats.org/officeDocument/2006/relationships/hyperlink" Target="http://www.digikey.com/product-detail/en/0805YD106KAT2A/478-5165-1-ND/1913255" TargetMode="External"/><Relationship Id="rId34" Type="http://schemas.openxmlformats.org/officeDocument/2006/relationships/drawing" Target="../drawings/drawing1.xml"/><Relationship Id="rId7" Type="http://schemas.openxmlformats.org/officeDocument/2006/relationships/hyperlink" Target="http://www.digikey.com/product-detail/en/EMK107B7105KA-T/587-1241-1-ND/931018" TargetMode="External"/><Relationship Id="rId12" Type="http://schemas.openxmlformats.org/officeDocument/2006/relationships/hyperlink" Target="http://www.digikey.com/product-detail/en/0015244745/WM9133-ND/946252" TargetMode="External"/><Relationship Id="rId17" Type="http://schemas.openxmlformats.org/officeDocument/2006/relationships/hyperlink" Target="http://www.digikey.com/product-detail/en/ACS713ELCTR-30A-T/620-1193-1-ND/1284610" TargetMode="External"/><Relationship Id="rId25" Type="http://schemas.openxmlformats.org/officeDocument/2006/relationships/hyperlink" Target="http://www.digikey.com/product-detail/en/ERJ-3EKF4701V/P4.70KHCT-ND/1746782" TargetMode="External"/><Relationship Id="rId33" Type="http://schemas.openxmlformats.org/officeDocument/2006/relationships/printerSettings" Target="../printerSettings/printerSettings1.bin"/><Relationship Id="rId2" Type="http://schemas.openxmlformats.org/officeDocument/2006/relationships/hyperlink" Target="http://www.digikey.com/product-detail/en/R-535.0PA/945-1598-5-ND/2302964" TargetMode="External"/><Relationship Id="rId16" Type="http://schemas.openxmlformats.org/officeDocument/2006/relationships/hyperlink" Target="http://www.digikey.com/product-detail/en/LM73CIMK-0%2FNOPB/LM73CIMK-0%2FNOPBCT-ND/953534" TargetMode="External"/><Relationship Id="rId20" Type="http://schemas.openxmlformats.org/officeDocument/2006/relationships/hyperlink" Target="http://www.digikey.com/product-detail/en/ATMEGA32U4-AUR/ATMEGA32U4-AURCT-ND/3440960" TargetMode="External"/><Relationship Id="rId29" Type="http://schemas.openxmlformats.org/officeDocument/2006/relationships/hyperlink" Target="http://www.digikey.com/product-detail/en/ERJ-3EKF1002V/P10.0KHCT-ND/198102" TargetMode="External"/><Relationship Id="rId1" Type="http://schemas.openxmlformats.org/officeDocument/2006/relationships/hyperlink" Target="http://www.digikey.com/product-detail/en/8-1393640-3/A101995-ND/2268163" TargetMode="External"/><Relationship Id="rId6" Type="http://schemas.openxmlformats.org/officeDocument/2006/relationships/hyperlink" Target="http://www.digikey.com/product-detail/en/ERJ-3EKF2001V/P2.00KHCT-ND/198219" TargetMode="External"/><Relationship Id="rId11" Type="http://schemas.openxmlformats.org/officeDocument/2006/relationships/hyperlink" Target="http://www.digikey.com/product-detail/en/AU-Y1007-R/AE9925-ND/821679" TargetMode="External"/><Relationship Id="rId24" Type="http://schemas.openxmlformats.org/officeDocument/2006/relationships/hyperlink" Target="http://www.digikey.com/product-detail/en/LTST-C190KGKT/160-1435-1-ND/386814" TargetMode="External"/><Relationship Id="rId32" Type="http://schemas.openxmlformats.org/officeDocument/2006/relationships/hyperlink" Target="http://www.digikey.com/product-detail/en/NCP1117ST50T3G/NCP1117ST50T3GOSCT-ND/1967217" TargetMode="External"/><Relationship Id="rId5" Type="http://schemas.openxmlformats.org/officeDocument/2006/relationships/hyperlink" Target="http://www.digikey.com/product-detail/en/C1206C107M9PACTU/399-5620-1-ND/2057834" TargetMode="External"/><Relationship Id="rId15" Type="http://schemas.openxmlformats.org/officeDocument/2006/relationships/hyperlink" Target="http://www.digikey.com/product-detail/en/VF-S250-12A/102-2165-ND/2352691" TargetMode="External"/><Relationship Id="rId23" Type="http://schemas.openxmlformats.org/officeDocument/2006/relationships/hyperlink" Target="http://www.digikey.com/product-detail/en/GRM1885C1H180JA01D/490-1409-1-ND/587631" TargetMode="External"/><Relationship Id="rId28" Type="http://schemas.openxmlformats.org/officeDocument/2006/relationships/hyperlink" Target="http://www.digikey.com/product-detail/en/ERJ-3EKF3002V/P30.0KHCT-ND/1746758" TargetMode="External"/><Relationship Id="rId36" Type="http://schemas.openxmlformats.org/officeDocument/2006/relationships/ctrlProp" Target="../ctrlProps/ctrlProp1.xml"/><Relationship Id="rId10" Type="http://schemas.openxmlformats.org/officeDocument/2006/relationships/hyperlink" Target="http://www.digikey.com/product-detail/en/TPS2044BDR/296-26909-1-ND/2255215" TargetMode="External"/><Relationship Id="rId19" Type="http://schemas.openxmlformats.org/officeDocument/2006/relationships/hyperlink" Target="http://www.digikey.com/product-detail/en/ERJ-3EKF1000V/P100HCT-ND/198109" TargetMode="External"/><Relationship Id="rId31" Type="http://schemas.openxmlformats.org/officeDocument/2006/relationships/hyperlink" Target="http://www.digikey.com/product-detail/en/440054-8/A100040-ND/2077944" TargetMode="External"/><Relationship Id="rId4" Type="http://schemas.openxmlformats.org/officeDocument/2006/relationships/hyperlink" Target="http://www.digikey.com/product-detail/en/MAX1685EEE%2B/MAX1685EEE%2B-ND/947774" TargetMode="External"/><Relationship Id="rId9" Type="http://schemas.openxmlformats.org/officeDocument/2006/relationships/hyperlink" Target="http://www.digikey.com/product-detail/en/NX3225SA-24.000000MHZ-STD-CSR-1/644-1052-1-ND/1128924" TargetMode="External"/><Relationship Id="rId14" Type="http://schemas.openxmlformats.org/officeDocument/2006/relationships/hyperlink" Target="http://www.digikey.com/product-detail/en/292303-1/A31726-ND/773786" TargetMode="External"/><Relationship Id="rId22" Type="http://schemas.openxmlformats.org/officeDocument/2006/relationships/hyperlink" Target="http://www.digikey.com/product-detail/en/ABM8G-16.000MHZ-18-D2Y-T/535-10267-1-ND/2218080" TargetMode="External"/><Relationship Id="rId27" Type="http://schemas.openxmlformats.org/officeDocument/2006/relationships/hyperlink" Target="http://www.digikey.com/product-detail/en/RC0603FR-0722RL/311-22.0HRCT-ND/730002" TargetMode="External"/><Relationship Id="rId30" Type="http://schemas.openxmlformats.org/officeDocument/2006/relationships/hyperlink" Target="http://www.digikey.com/product-detail/en/ERJ-3EKF1402V/P14.0KHCT-ND/198160" TargetMode="External"/><Relationship Id="rId35" Type="http://schemas.openxmlformats.org/officeDocument/2006/relationships/vmlDrawing" Target="../drawings/vmlDrawing1.vml"/><Relationship Id="rId8" Type="http://schemas.openxmlformats.org/officeDocument/2006/relationships/hyperlink" Target="http://www.digikey.com/product-detail/en/DR1050-100-R/513-1415-1-ND/155556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2:N58"/>
  <sheetViews>
    <sheetView tabSelected="1" topLeftCell="A34" zoomScaleNormal="100" workbookViewId="0">
      <selection activeCell="I54" sqref="I54"/>
    </sheetView>
  </sheetViews>
  <sheetFormatPr baseColWidth="10" defaultRowHeight="15" x14ac:dyDescent="0.25"/>
  <cols>
    <col min="1" max="1" width="1.85546875" customWidth="1"/>
    <col min="2" max="2" width="5.140625" customWidth="1"/>
    <col min="3" max="3" width="25.42578125" customWidth="1"/>
    <col min="4" max="4" width="5.85546875" customWidth="1"/>
    <col min="5" max="5" width="10.7109375" customWidth="1"/>
    <col min="6" max="6" width="11" customWidth="1"/>
    <col min="7" max="7" width="8.85546875" customWidth="1"/>
    <col min="8" max="8" width="36.5703125" customWidth="1"/>
    <col min="9" max="9" width="23.42578125" customWidth="1"/>
    <col min="10" max="10" width="28.42578125" customWidth="1"/>
    <col min="11" max="11" width="22.140625" customWidth="1"/>
    <col min="12" max="12" width="96.28515625" bestFit="1" customWidth="1"/>
  </cols>
  <sheetData>
    <row r="2" spans="1:14" ht="23.25" customHeight="1" x14ac:dyDescent="0.35">
      <c r="B2" s="39" t="s">
        <v>8</v>
      </c>
      <c r="C2" s="39"/>
      <c r="D2" s="39"/>
      <c r="E2" s="39"/>
      <c r="F2" s="39"/>
      <c r="G2" s="39"/>
      <c r="H2" s="39"/>
      <c r="I2" s="39"/>
      <c r="J2" s="39"/>
      <c r="K2" s="39"/>
      <c r="L2" s="39"/>
      <c r="M2" s="1"/>
      <c r="N2" s="1"/>
    </row>
    <row r="3" spans="1:14" x14ac:dyDescent="0.25">
      <c r="B3" s="2"/>
      <c r="C3" s="2"/>
      <c r="D3" s="2"/>
      <c r="E3" s="2"/>
      <c r="F3" s="2"/>
      <c r="G3" s="2"/>
      <c r="H3" s="2"/>
      <c r="I3" s="2"/>
      <c r="J3" s="2"/>
      <c r="K3" s="2"/>
      <c r="L3" s="2"/>
    </row>
    <row r="4" spans="1:14" x14ac:dyDescent="0.25">
      <c r="B4" s="2"/>
      <c r="C4" s="2"/>
      <c r="D4" s="2"/>
      <c r="E4" s="2"/>
      <c r="F4" s="2"/>
      <c r="G4" s="2"/>
      <c r="H4" s="2"/>
      <c r="I4" s="2"/>
      <c r="J4" s="2"/>
      <c r="K4" s="2"/>
      <c r="L4" s="2"/>
    </row>
    <row r="5" spans="1:14" x14ac:dyDescent="0.25">
      <c r="B5" s="2"/>
      <c r="C5" s="2"/>
      <c r="D5" s="2"/>
      <c r="E5" s="2"/>
      <c r="F5" s="2"/>
      <c r="G5" s="2"/>
      <c r="H5" s="2"/>
      <c r="I5" s="2"/>
      <c r="J5" s="2"/>
      <c r="K5" s="2"/>
      <c r="L5" s="2"/>
    </row>
    <row r="6" spans="1:14" ht="15.75" thickBot="1" x14ac:dyDescent="0.3">
      <c r="B6" s="2"/>
      <c r="C6" s="2"/>
      <c r="D6" s="2"/>
      <c r="E6" s="2"/>
      <c r="F6" s="2"/>
      <c r="G6" s="2"/>
      <c r="H6" s="2"/>
      <c r="I6" s="2"/>
      <c r="J6" s="2"/>
      <c r="K6" s="2"/>
      <c r="L6" s="2"/>
    </row>
    <row r="7" spans="1:14" ht="15.75" thickBot="1" x14ac:dyDescent="0.3">
      <c r="B7" s="2"/>
      <c r="C7" s="21" t="s">
        <v>9</v>
      </c>
      <c r="D7" s="22">
        <v>10</v>
      </c>
      <c r="E7" s="2"/>
      <c r="F7" s="2"/>
      <c r="G7" s="2"/>
      <c r="H7" s="2"/>
      <c r="I7" s="2"/>
      <c r="J7" s="2"/>
      <c r="K7" s="2"/>
      <c r="L7" s="2"/>
    </row>
    <row r="8" spans="1:14" ht="19.5" customHeight="1" x14ac:dyDescent="0.25">
      <c r="B8" s="5" t="s">
        <v>0</v>
      </c>
      <c r="C8" s="15" t="s">
        <v>7</v>
      </c>
      <c r="D8" s="6" t="s">
        <v>1</v>
      </c>
      <c r="E8" s="6" t="s">
        <v>12</v>
      </c>
      <c r="F8" s="6" t="s">
        <v>10</v>
      </c>
      <c r="G8" s="6" t="s">
        <v>11</v>
      </c>
      <c r="H8" s="6" t="s">
        <v>2</v>
      </c>
      <c r="I8" s="6" t="s">
        <v>3</v>
      </c>
      <c r="J8" s="6" t="s">
        <v>4</v>
      </c>
      <c r="K8" s="6" t="s">
        <v>6</v>
      </c>
      <c r="L8" s="7" t="s">
        <v>5</v>
      </c>
    </row>
    <row r="9" spans="1:14" x14ac:dyDescent="0.25">
      <c r="A9" s="4"/>
      <c r="B9" s="10">
        <v>1</v>
      </c>
      <c r="C9" s="16" t="s">
        <v>109</v>
      </c>
      <c r="D9" s="8">
        <v>2</v>
      </c>
      <c r="E9" s="9">
        <v>2.82</v>
      </c>
      <c r="F9" s="8">
        <f>D9*E9</f>
        <v>5.64</v>
      </c>
      <c r="G9" s="33">
        <v>310</v>
      </c>
      <c r="H9" s="9" t="s">
        <v>146</v>
      </c>
      <c r="I9" s="9" t="s">
        <v>145</v>
      </c>
      <c r="J9" s="8" t="s">
        <v>49</v>
      </c>
      <c r="K9" s="9" t="s">
        <v>50</v>
      </c>
      <c r="L9" s="13" t="s">
        <v>144</v>
      </c>
    </row>
    <row r="10" spans="1:14" x14ac:dyDescent="0.25">
      <c r="A10" s="4"/>
      <c r="B10" s="10">
        <v>2</v>
      </c>
      <c r="C10" s="37" t="s">
        <v>110</v>
      </c>
      <c r="D10" s="8">
        <v>2</v>
      </c>
      <c r="E10" s="9">
        <v>2.65</v>
      </c>
      <c r="F10" s="8">
        <f>D10*E10</f>
        <v>5.3</v>
      </c>
      <c r="G10" s="33">
        <v>6637</v>
      </c>
      <c r="H10" s="9" t="s">
        <v>22</v>
      </c>
      <c r="I10" s="23" t="s">
        <v>21</v>
      </c>
      <c r="J10" s="9" t="s">
        <v>20</v>
      </c>
      <c r="K10" s="9" t="s">
        <v>23</v>
      </c>
      <c r="L10" s="13" t="s">
        <v>19</v>
      </c>
    </row>
    <row r="11" spans="1:14" ht="25.5" x14ac:dyDescent="0.25">
      <c r="A11" s="4"/>
      <c r="B11" s="10">
        <v>3</v>
      </c>
      <c r="C11" s="37" t="s">
        <v>111</v>
      </c>
      <c r="D11" s="8">
        <v>10</v>
      </c>
      <c r="E11" s="9">
        <v>0.66279999999999994</v>
      </c>
      <c r="F11" s="8">
        <f>D11*E11</f>
        <v>6.6279999999999992</v>
      </c>
      <c r="G11" s="33">
        <v>10700</v>
      </c>
      <c r="H11" s="9" t="s">
        <v>222</v>
      </c>
      <c r="I11" s="9" t="s">
        <v>26</v>
      </c>
      <c r="J11" s="8" t="s">
        <v>25</v>
      </c>
      <c r="K11" s="9" t="s">
        <v>27</v>
      </c>
      <c r="L11" s="13" t="s">
        <v>24</v>
      </c>
    </row>
    <row r="12" spans="1:14" x14ac:dyDescent="0.25">
      <c r="A12" s="4"/>
      <c r="B12" s="10">
        <v>4</v>
      </c>
      <c r="C12" s="37" t="s">
        <v>112</v>
      </c>
      <c r="D12" s="8">
        <v>1</v>
      </c>
      <c r="E12" s="9">
        <v>9.39</v>
      </c>
      <c r="F12" s="8">
        <f>D12*E12</f>
        <v>9.39</v>
      </c>
      <c r="G12" s="33">
        <v>808</v>
      </c>
      <c r="H12" s="9" t="s">
        <v>62</v>
      </c>
      <c r="I12" s="9" t="s">
        <v>61</v>
      </c>
      <c r="J12" s="8" t="s">
        <v>60</v>
      </c>
      <c r="K12" s="9" t="s">
        <v>63</v>
      </c>
      <c r="L12" s="13" t="s">
        <v>51</v>
      </c>
    </row>
    <row r="13" spans="1:14" x14ac:dyDescent="0.25">
      <c r="A13" s="4"/>
      <c r="B13" s="10">
        <v>5</v>
      </c>
      <c r="C13" s="37" t="s">
        <v>113</v>
      </c>
      <c r="D13" s="8">
        <v>5</v>
      </c>
      <c r="E13" s="9">
        <v>5.46</v>
      </c>
      <c r="F13" s="8">
        <f>D13*E13</f>
        <v>27.3</v>
      </c>
      <c r="G13" s="33">
        <v>6519</v>
      </c>
      <c r="H13" s="9" t="s">
        <v>31</v>
      </c>
      <c r="I13" s="9" t="s">
        <v>30</v>
      </c>
      <c r="J13" s="8" t="s">
        <v>29</v>
      </c>
      <c r="K13" s="9"/>
      <c r="L13" s="13" t="s">
        <v>28</v>
      </c>
    </row>
    <row r="14" spans="1:14" x14ac:dyDescent="0.25">
      <c r="A14" s="4"/>
      <c r="B14" s="10">
        <v>6</v>
      </c>
      <c r="C14" s="37" t="s">
        <v>114</v>
      </c>
      <c r="D14" s="8">
        <v>1</v>
      </c>
      <c r="E14" s="9">
        <v>0.64500000000000002</v>
      </c>
      <c r="F14" s="8">
        <f>D14*E14</f>
        <v>0.64500000000000002</v>
      </c>
      <c r="G14" s="33">
        <v>15356</v>
      </c>
      <c r="H14" s="9" t="s">
        <v>35</v>
      </c>
      <c r="I14" s="9" t="s">
        <v>34</v>
      </c>
      <c r="J14" s="8" t="s">
        <v>33</v>
      </c>
      <c r="K14" s="9"/>
      <c r="L14" s="13" t="s">
        <v>32</v>
      </c>
    </row>
    <row r="15" spans="1:14" x14ac:dyDescent="0.25">
      <c r="A15" s="4"/>
      <c r="B15" s="10">
        <v>7</v>
      </c>
      <c r="C15" s="37" t="s">
        <v>115</v>
      </c>
      <c r="D15" s="8">
        <v>1</v>
      </c>
      <c r="E15" s="9">
        <v>22.8</v>
      </c>
      <c r="F15" s="8">
        <f>D15*E15</f>
        <v>22.8</v>
      </c>
      <c r="G15" s="33">
        <v>155</v>
      </c>
      <c r="H15" s="9" t="s">
        <v>41</v>
      </c>
      <c r="I15" s="9" t="s">
        <v>40</v>
      </c>
      <c r="J15" s="8" t="s">
        <v>39</v>
      </c>
      <c r="K15" s="9" t="s">
        <v>42</v>
      </c>
      <c r="L15" s="38" t="s">
        <v>36</v>
      </c>
    </row>
    <row r="16" spans="1:14" x14ac:dyDescent="0.25">
      <c r="A16" s="4"/>
      <c r="B16" s="10">
        <v>8</v>
      </c>
      <c r="C16" s="18" t="s">
        <v>124</v>
      </c>
      <c r="D16" s="19">
        <v>1</v>
      </c>
      <c r="E16" s="20">
        <v>2.6739999999999999</v>
      </c>
      <c r="F16" s="8">
        <f>D16*E16</f>
        <v>2.6739999999999999</v>
      </c>
      <c r="G16" s="34">
        <v>4227</v>
      </c>
      <c r="H16" s="20" t="s">
        <v>94</v>
      </c>
      <c r="I16" s="20" t="s">
        <v>93</v>
      </c>
      <c r="J16" s="19" t="s">
        <v>92</v>
      </c>
      <c r="K16" s="20" t="s">
        <v>84</v>
      </c>
      <c r="L16" s="13" t="s">
        <v>91</v>
      </c>
    </row>
    <row r="17" spans="1:12" x14ac:dyDescent="0.25">
      <c r="A17" s="4"/>
      <c r="B17" s="10">
        <v>9</v>
      </c>
      <c r="C17" s="18" t="s">
        <v>127</v>
      </c>
      <c r="D17" s="19">
        <v>1</v>
      </c>
      <c r="E17" s="20">
        <v>3.7749999999999999</v>
      </c>
      <c r="F17" s="8">
        <f>D17*E17</f>
        <v>3.7749999999999999</v>
      </c>
      <c r="G17" s="34">
        <v>13732</v>
      </c>
      <c r="H17" s="20" t="s">
        <v>143</v>
      </c>
      <c r="I17" s="20" t="s">
        <v>108</v>
      </c>
      <c r="J17" s="19" t="s">
        <v>20</v>
      </c>
      <c r="K17" s="20" t="s">
        <v>223</v>
      </c>
      <c r="L17" s="13" t="s">
        <v>107</v>
      </c>
    </row>
    <row r="18" spans="1:12" x14ac:dyDescent="0.25">
      <c r="A18" s="4"/>
      <c r="B18" s="10">
        <v>10</v>
      </c>
      <c r="C18" s="18" t="s">
        <v>221</v>
      </c>
      <c r="D18" s="19">
        <v>1</v>
      </c>
      <c r="E18" s="20">
        <v>0.41699999999999998</v>
      </c>
      <c r="F18" s="8">
        <f>D18*E18</f>
        <v>0.41699999999999998</v>
      </c>
      <c r="G18" s="34">
        <v>42802</v>
      </c>
      <c r="H18" s="20" t="s">
        <v>225</v>
      </c>
      <c r="I18" s="20" t="s">
        <v>224</v>
      </c>
      <c r="J18" s="19" t="s">
        <v>100</v>
      </c>
      <c r="K18" s="20" t="s">
        <v>226</v>
      </c>
      <c r="L18" s="13" t="s">
        <v>220</v>
      </c>
    </row>
    <row r="19" spans="1:12" x14ac:dyDescent="0.25">
      <c r="A19" s="4"/>
      <c r="B19" s="10">
        <v>11</v>
      </c>
      <c r="C19" s="37" t="s">
        <v>160</v>
      </c>
      <c r="D19" s="8">
        <v>1</v>
      </c>
      <c r="E19" s="9">
        <v>1.944</v>
      </c>
      <c r="F19" s="8">
        <f>D19*E19</f>
        <v>1.944</v>
      </c>
      <c r="G19" s="33">
        <v>12653</v>
      </c>
      <c r="H19" s="9" t="s">
        <v>152</v>
      </c>
      <c r="I19" s="9" t="s">
        <v>151</v>
      </c>
      <c r="J19" s="8" t="s">
        <v>20</v>
      </c>
      <c r="K19" s="9" t="s">
        <v>153</v>
      </c>
      <c r="L19" s="38" t="s">
        <v>149</v>
      </c>
    </row>
    <row r="20" spans="1:12" ht="22.5" x14ac:dyDescent="0.25">
      <c r="A20" s="4"/>
      <c r="B20" s="10">
        <v>12</v>
      </c>
      <c r="C20" s="37" t="s">
        <v>161</v>
      </c>
      <c r="D20" s="8">
        <v>1</v>
      </c>
      <c r="E20" s="9">
        <v>3.3839999999999999</v>
      </c>
      <c r="F20" s="8">
        <f>D20*E20</f>
        <v>3.3839999999999999</v>
      </c>
      <c r="G20" s="33">
        <v>1605</v>
      </c>
      <c r="H20" s="9" t="s">
        <v>156</v>
      </c>
      <c r="I20" s="9" t="s">
        <v>155</v>
      </c>
      <c r="J20" s="8" t="s">
        <v>154</v>
      </c>
      <c r="K20" s="9" t="s">
        <v>157</v>
      </c>
      <c r="L20" s="38" t="s">
        <v>150</v>
      </c>
    </row>
    <row r="21" spans="1:12" x14ac:dyDescent="0.25">
      <c r="A21" s="4"/>
      <c r="B21" s="10">
        <v>13</v>
      </c>
      <c r="C21" s="37" t="s">
        <v>159</v>
      </c>
      <c r="D21" s="8">
        <v>1</v>
      </c>
      <c r="E21" s="9">
        <v>6.35</v>
      </c>
      <c r="F21" s="8">
        <f>D21*E21</f>
        <v>6.35</v>
      </c>
      <c r="G21" s="33">
        <v>3213</v>
      </c>
      <c r="H21" s="9" t="s">
        <v>164</v>
      </c>
      <c r="I21" s="9" t="s">
        <v>163</v>
      </c>
      <c r="J21" s="8" t="s">
        <v>162</v>
      </c>
      <c r="K21" s="9" t="s">
        <v>165</v>
      </c>
      <c r="L21" s="38" t="s">
        <v>158</v>
      </c>
    </row>
    <row r="22" spans="1:12" x14ac:dyDescent="0.25">
      <c r="A22" s="4"/>
      <c r="B22" s="10">
        <v>14</v>
      </c>
      <c r="C22" s="37" t="s">
        <v>116</v>
      </c>
      <c r="D22" s="8">
        <v>1</v>
      </c>
      <c r="E22" s="9">
        <v>0.36</v>
      </c>
      <c r="F22" s="8">
        <f>D22*E22</f>
        <v>0.36</v>
      </c>
      <c r="G22" s="33">
        <v>30388</v>
      </c>
      <c r="H22" s="9" t="s">
        <v>45</v>
      </c>
      <c r="I22" s="9" t="s">
        <v>44</v>
      </c>
      <c r="J22" s="8" t="s">
        <v>43</v>
      </c>
      <c r="K22" s="9" t="s">
        <v>46</v>
      </c>
      <c r="L22" s="13" t="s">
        <v>37</v>
      </c>
    </row>
    <row r="23" spans="1:12" x14ac:dyDescent="0.25">
      <c r="A23" s="4"/>
      <c r="B23" s="10">
        <v>15</v>
      </c>
      <c r="C23" s="37" t="s">
        <v>117</v>
      </c>
      <c r="D23" s="8">
        <v>5</v>
      </c>
      <c r="E23" s="9">
        <v>0.56479999999999997</v>
      </c>
      <c r="F23" s="8">
        <f>D23*E23</f>
        <v>2.8239999999999998</v>
      </c>
      <c r="G23" s="33">
        <v>2197</v>
      </c>
      <c r="H23" s="9" t="s">
        <v>227</v>
      </c>
      <c r="I23" s="9" t="s">
        <v>47</v>
      </c>
      <c r="J23" s="8" t="s">
        <v>25</v>
      </c>
      <c r="K23" s="9" t="s">
        <v>48</v>
      </c>
      <c r="L23" s="13" t="s">
        <v>38</v>
      </c>
    </row>
    <row r="24" spans="1:12" x14ac:dyDescent="0.25">
      <c r="A24" s="4"/>
      <c r="B24" s="10">
        <v>16</v>
      </c>
      <c r="C24" s="18" t="s">
        <v>125</v>
      </c>
      <c r="D24" s="19">
        <v>1</v>
      </c>
      <c r="E24" s="20">
        <v>0.40300000000000002</v>
      </c>
      <c r="F24" s="8">
        <f>D24*E24</f>
        <v>0.40300000000000002</v>
      </c>
      <c r="G24" s="34">
        <v>213320</v>
      </c>
      <c r="H24" s="20" t="s">
        <v>102</v>
      </c>
      <c r="I24" s="20" t="s">
        <v>101</v>
      </c>
      <c r="J24" s="19" t="s">
        <v>100</v>
      </c>
      <c r="K24" s="20" t="s">
        <v>103</v>
      </c>
      <c r="L24" s="13" t="s">
        <v>98</v>
      </c>
    </row>
    <row r="25" spans="1:12" x14ac:dyDescent="0.25">
      <c r="A25" s="4"/>
      <c r="B25" s="10">
        <v>17</v>
      </c>
      <c r="C25" s="18" t="s">
        <v>174</v>
      </c>
      <c r="D25" s="19">
        <v>3</v>
      </c>
      <c r="E25" s="20">
        <v>0.22800000000000001</v>
      </c>
      <c r="F25" s="8">
        <f>D25*E25</f>
        <v>0.68400000000000005</v>
      </c>
      <c r="G25" s="34">
        <v>382819</v>
      </c>
      <c r="H25" s="20" t="s">
        <v>178</v>
      </c>
      <c r="I25" s="20" t="s">
        <v>177</v>
      </c>
      <c r="J25" s="19" t="s">
        <v>176</v>
      </c>
      <c r="K25" s="20" t="s">
        <v>67</v>
      </c>
      <c r="L25" s="13" t="s">
        <v>173</v>
      </c>
    </row>
    <row r="26" spans="1:12" x14ac:dyDescent="0.25">
      <c r="A26" s="4"/>
      <c r="B26" s="10">
        <v>18</v>
      </c>
      <c r="C26" s="37" t="s">
        <v>118</v>
      </c>
      <c r="D26" s="8">
        <v>4</v>
      </c>
      <c r="E26" s="9">
        <v>0.1</v>
      </c>
      <c r="F26" s="8">
        <f>D26*E26</f>
        <v>0.4</v>
      </c>
      <c r="G26" s="33">
        <v>5434405</v>
      </c>
      <c r="H26" s="9" t="s">
        <v>66</v>
      </c>
      <c r="I26" s="9" t="s">
        <v>65</v>
      </c>
      <c r="J26" s="8" t="s">
        <v>64</v>
      </c>
      <c r="K26" s="9">
        <v>603</v>
      </c>
      <c r="L26" s="13" t="s">
        <v>53</v>
      </c>
    </row>
    <row r="27" spans="1:12" x14ac:dyDescent="0.25">
      <c r="A27" s="4"/>
      <c r="B27" s="10">
        <v>19</v>
      </c>
      <c r="C27" s="37" t="s">
        <v>218</v>
      </c>
      <c r="D27" s="8">
        <v>4</v>
      </c>
      <c r="E27" s="9">
        <v>0.1</v>
      </c>
      <c r="F27" s="8">
        <f>D27*E27</f>
        <v>0.4</v>
      </c>
      <c r="G27" s="33">
        <v>146780</v>
      </c>
      <c r="H27" s="9" t="s">
        <v>203</v>
      </c>
      <c r="I27" s="9" t="s">
        <v>202</v>
      </c>
      <c r="J27" s="8" t="s">
        <v>64</v>
      </c>
      <c r="K27" s="9">
        <v>603</v>
      </c>
      <c r="L27" s="13" t="s">
        <v>200</v>
      </c>
    </row>
    <row r="28" spans="1:12" ht="51" x14ac:dyDescent="0.25">
      <c r="A28" s="4"/>
      <c r="B28" s="10">
        <v>20</v>
      </c>
      <c r="C28" s="37" t="s">
        <v>119</v>
      </c>
      <c r="D28" s="8">
        <v>22</v>
      </c>
      <c r="E28" s="9">
        <v>1.14E-2</v>
      </c>
      <c r="F28" s="8">
        <f>D28*E28</f>
        <v>0.25080000000000002</v>
      </c>
      <c r="G28" s="33">
        <v>317330</v>
      </c>
      <c r="H28" s="9" t="s">
        <v>130</v>
      </c>
      <c r="I28" s="9" t="s">
        <v>68</v>
      </c>
      <c r="J28" s="8" t="s">
        <v>64</v>
      </c>
      <c r="K28" s="9">
        <v>603</v>
      </c>
      <c r="L28" s="13" t="s">
        <v>52</v>
      </c>
    </row>
    <row r="29" spans="1:12" x14ac:dyDescent="0.25">
      <c r="A29" s="4"/>
      <c r="B29" s="10">
        <v>21</v>
      </c>
      <c r="C29" s="18" t="s">
        <v>207</v>
      </c>
      <c r="D29" s="19">
        <v>1</v>
      </c>
      <c r="E29" s="20">
        <v>0.1</v>
      </c>
      <c r="F29" s="8">
        <f>D29*E29</f>
        <v>0.1</v>
      </c>
      <c r="G29" s="34">
        <v>65881</v>
      </c>
      <c r="H29" s="20" t="s">
        <v>213</v>
      </c>
      <c r="I29" s="20" t="s">
        <v>212</v>
      </c>
      <c r="J29" s="19" t="s">
        <v>64</v>
      </c>
      <c r="K29" s="20">
        <v>603</v>
      </c>
      <c r="L29" s="13" t="s">
        <v>206</v>
      </c>
    </row>
    <row r="30" spans="1:12" x14ac:dyDescent="0.25">
      <c r="A30" s="4"/>
      <c r="B30" s="10">
        <v>22</v>
      </c>
      <c r="C30" s="18" t="s">
        <v>219</v>
      </c>
      <c r="D30" s="19">
        <v>6</v>
      </c>
      <c r="E30" s="20">
        <v>1.4999999999999999E-2</v>
      </c>
      <c r="F30" s="8">
        <f>D30*E30</f>
        <v>0.09</v>
      </c>
      <c r="G30" s="34">
        <v>5257779</v>
      </c>
      <c r="H30" s="20" t="s">
        <v>205</v>
      </c>
      <c r="I30" s="20" t="s">
        <v>204</v>
      </c>
      <c r="J30" s="19" t="s">
        <v>64</v>
      </c>
      <c r="K30" s="20">
        <v>603</v>
      </c>
      <c r="L30" s="13" t="s">
        <v>201</v>
      </c>
    </row>
    <row r="31" spans="1:12" x14ac:dyDescent="0.25">
      <c r="A31" s="4"/>
      <c r="B31" s="10">
        <v>23</v>
      </c>
      <c r="C31" s="18" t="s">
        <v>211</v>
      </c>
      <c r="D31" s="19">
        <v>3</v>
      </c>
      <c r="E31" s="20">
        <v>0.1</v>
      </c>
      <c r="F31" s="8">
        <f>D31*E31</f>
        <v>0.30000000000000004</v>
      </c>
      <c r="G31" s="34">
        <v>18091</v>
      </c>
      <c r="H31" s="20" t="s">
        <v>180</v>
      </c>
      <c r="I31" s="20" t="s">
        <v>179</v>
      </c>
      <c r="J31" s="19" t="s">
        <v>64</v>
      </c>
      <c r="K31" s="20">
        <v>603</v>
      </c>
      <c r="L31" s="13" t="s">
        <v>175</v>
      </c>
    </row>
    <row r="32" spans="1:12" ht="25.5" x14ac:dyDescent="0.25">
      <c r="A32" s="4"/>
      <c r="B32" s="10">
        <v>24</v>
      </c>
      <c r="C32" s="18" t="s">
        <v>210</v>
      </c>
      <c r="D32" s="19">
        <v>8</v>
      </c>
      <c r="E32" s="20">
        <v>1.4999999999999999E-2</v>
      </c>
      <c r="F32" s="8">
        <f>D32*E32</f>
        <v>0.12</v>
      </c>
      <c r="G32" s="34">
        <v>603382</v>
      </c>
      <c r="H32" s="20" t="s">
        <v>131</v>
      </c>
      <c r="I32" s="20" t="s">
        <v>90</v>
      </c>
      <c r="J32" s="19" t="s">
        <v>64</v>
      </c>
      <c r="K32" s="20">
        <v>603</v>
      </c>
      <c r="L32" s="13" t="s">
        <v>89</v>
      </c>
    </row>
    <row r="33" spans="1:12" x14ac:dyDescent="0.25">
      <c r="A33" s="4"/>
      <c r="B33" s="10">
        <v>25</v>
      </c>
      <c r="C33" s="18" t="s">
        <v>128</v>
      </c>
      <c r="D33" s="19">
        <v>1</v>
      </c>
      <c r="E33" s="20">
        <v>0.1</v>
      </c>
      <c r="F33" s="8">
        <f>D33*E33</f>
        <v>0.1</v>
      </c>
      <c r="G33" s="34">
        <v>1212196</v>
      </c>
      <c r="H33" s="20" t="s">
        <v>133</v>
      </c>
      <c r="I33" s="20" t="s">
        <v>132</v>
      </c>
      <c r="J33" s="19" t="s">
        <v>64</v>
      </c>
      <c r="K33" s="20">
        <v>603</v>
      </c>
      <c r="L33" s="13" t="s">
        <v>129</v>
      </c>
    </row>
    <row r="34" spans="1:12" x14ac:dyDescent="0.25">
      <c r="A34" s="4"/>
      <c r="B34" s="10">
        <v>26</v>
      </c>
      <c r="C34" s="18" t="s">
        <v>193</v>
      </c>
      <c r="D34" s="19">
        <v>2</v>
      </c>
      <c r="E34" s="20">
        <v>1.4E-2</v>
      </c>
      <c r="F34" s="8">
        <f>D34*E34</f>
        <v>2.8000000000000001E-2</v>
      </c>
      <c r="G34" s="34">
        <v>14260</v>
      </c>
      <c r="H34" s="20" t="s">
        <v>196</v>
      </c>
      <c r="I34" s="20" t="s">
        <v>195</v>
      </c>
      <c r="J34" s="19" t="s">
        <v>194</v>
      </c>
      <c r="K34" s="20">
        <v>603</v>
      </c>
      <c r="L34" s="13" t="s">
        <v>192</v>
      </c>
    </row>
    <row r="35" spans="1:12" ht="25.5" x14ac:dyDescent="0.25">
      <c r="A35" s="4"/>
      <c r="B35" s="10">
        <v>27</v>
      </c>
      <c r="C35" s="18" t="s">
        <v>140</v>
      </c>
      <c r="D35" s="19">
        <v>10</v>
      </c>
      <c r="E35" s="20">
        <v>0.48830000000000001</v>
      </c>
      <c r="F35" s="8">
        <f>D35*E35</f>
        <v>4.883</v>
      </c>
      <c r="G35" s="34">
        <v>484830</v>
      </c>
      <c r="H35" s="20" t="s">
        <v>71</v>
      </c>
      <c r="I35" s="20" t="s">
        <v>70</v>
      </c>
      <c r="J35" s="19" t="s">
        <v>69</v>
      </c>
      <c r="K35" s="20" t="s">
        <v>72</v>
      </c>
      <c r="L35" s="13" t="s">
        <v>54</v>
      </c>
    </row>
    <row r="36" spans="1:12" x14ac:dyDescent="0.25">
      <c r="A36" s="4"/>
      <c r="B36" s="10">
        <v>28</v>
      </c>
      <c r="C36" s="18" t="s">
        <v>120</v>
      </c>
      <c r="D36" s="19">
        <v>3</v>
      </c>
      <c r="E36" s="20">
        <v>0.875</v>
      </c>
      <c r="F36" s="8">
        <f>D36*E36</f>
        <v>2.625</v>
      </c>
      <c r="G36" s="34">
        <v>52874</v>
      </c>
      <c r="H36" s="20" t="s">
        <v>87</v>
      </c>
      <c r="I36" s="20" t="s">
        <v>86</v>
      </c>
      <c r="J36" s="19" t="s">
        <v>73</v>
      </c>
      <c r="K36" s="20" t="s">
        <v>88</v>
      </c>
      <c r="L36" s="13" t="s">
        <v>85</v>
      </c>
    </row>
    <row r="37" spans="1:12" x14ac:dyDescent="0.25">
      <c r="A37" s="4"/>
      <c r="B37" s="10">
        <v>29</v>
      </c>
      <c r="C37" s="18" t="s">
        <v>168</v>
      </c>
      <c r="D37" s="19">
        <v>2</v>
      </c>
      <c r="E37" s="20">
        <v>0.24</v>
      </c>
      <c r="F37" s="8">
        <f>D37*E37</f>
        <v>0.48</v>
      </c>
      <c r="G37" s="34">
        <v>282965</v>
      </c>
      <c r="H37" s="20" t="s">
        <v>183</v>
      </c>
      <c r="I37" s="20" t="s">
        <v>182</v>
      </c>
      <c r="J37" s="19" t="s">
        <v>181</v>
      </c>
      <c r="K37" s="20" t="s">
        <v>184</v>
      </c>
      <c r="L37" s="13" t="s">
        <v>167</v>
      </c>
    </row>
    <row r="38" spans="1:12" x14ac:dyDescent="0.25">
      <c r="A38" s="4"/>
      <c r="B38" s="10">
        <v>30</v>
      </c>
      <c r="C38" s="18" t="s">
        <v>121</v>
      </c>
      <c r="D38" s="19">
        <v>2</v>
      </c>
      <c r="E38" s="20">
        <v>0.115</v>
      </c>
      <c r="F38" s="8">
        <f>D38*E38</f>
        <v>0.23</v>
      </c>
      <c r="G38" s="34">
        <v>132083</v>
      </c>
      <c r="H38" s="20" t="s">
        <v>75</v>
      </c>
      <c r="I38" s="20" t="s">
        <v>74</v>
      </c>
      <c r="J38" s="19" t="s">
        <v>73</v>
      </c>
      <c r="K38" s="20" t="s">
        <v>67</v>
      </c>
      <c r="L38" s="13" t="s">
        <v>55</v>
      </c>
    </row>
    <row r="39" spans="1:12" x14ac:dyDescent="0.25">
      <c r="A39" s="4"/>
      <c r="B39" s="10">
        <v>31</v>
      </c>
      <c r="C39" s="18" t="s">
        <v>166</v>
      </c>
      <c r="D39" s="19">
        <v>2</v>
      </c>
      <c r="E39" s="20">
        <v>0.06</v>
      </c>
      <c r="F39" s="8">
        <f>D39*E39</f>
        <v>0.12</v>
      </c>
      <c r="G39" s="34">
        <v>44910</v>
      </c>
      <c r="H39" s="20" t="s">
        <v>97</v>
      </c>
      <c r="I39" s="20" t="s">
        <v>96</v>
      </c>
      <c r="J39" s="19" t="s">
        <v>73</v>
      </c>
      <c r="K39" s="20" t="s">
        <v>67</v>
      </c>
      <c r="L39" s="13" t="s">
        <v>95</v>
      </c>
    </row>
    <row r="40" spans="1:12" ht="76.5" x14ac:dyDescent="0.25">
      <c r="A40" s="4"/>
      <c r="B40" s="10">
        <v>32</v>
      </c>
      <c r="C40" s="18" t="s">
        <v>209</v>
      </c>
      <c r="D40" s="19">
        <v>33</v>
      </c>
      <c r="E40" s="20">
        <v>8.1200000000000005E-3</v>
      </c>
      <c r="F40" s="8">
        <f>D40*E40</f>
        <v>0.26796000000000003</v>
      </c>
      <c r="G40" s="34">
        <v>1814821</v>
      </c>
      <c r="H40" s="20" t="s">
        <v>77</v>
      </c>
      <c r="I40" s="20" t="s">
        <v>76</v>
      </c>
      <c r="J40" s="19" t="s">
        <v>69</v>
      </c>
      <c r="K40" s="20" t="s">
        <v>67</v>
      </c>
      <c r="L40" s="13" t="s">
        <v>56</v>
      </c>
    </row>
    <row r="41" spans="1:12" ht="25.5" x14ac:dyDescent="0.25">
      <c r="A41" s="4"/>
      <c r="B41" s="10">
        <v>33</v>
      </c>
      <c r="C41" s="18" t="s">
        <v>208</v>
      </c>
      <c r="D41" s="19">
        <v>9</v>
      </c>
      <c r="E41" s="20">
        <v>1.04E-2</v>
      </c>
      <c r="F41" s="8">
        <f>D41*E41</f>
        <v>9.3599999999999989E-2</v>
      </c>
      <c r="G41" s="34">
        <v>730358</v>
      </c>
      <c r="H41" s="20" t="s">
        <v>79</v>
      </c>
      <c r="I41" s="20" t="s">
        <v>78</v>
      </c>
      <c r="J41" s="19" t="s">
        <v>69</v>
      </c>
      <c r="K41" s="20" t="s">
        <v>67</v>
      </c>
      <c r="L41" s="13" t="s">
        <v>57</v>
      </c>
    </row>
    <row r="42" spans="1:12" x14ac:dyDescent="0.25">
      <c r="A42" s="4"/>
      <c r="B42" s="10">
        <v>34</v>
      </c>
      <c r="C42" s="18" t="s">
        <v>172</v>
      </c>
      <c r="D42" s="19">
        <v>2</v>
      </c>
      <c r="E42" s="20">
        <v>4.1000000000000002E-2</v>
      </c>
      <c r="F42" s="8">
        <f>D42*E42</f>
        <v>8.2000000000000003E-2</v>
      </c>
      <c r="G42" s="34">
        <v>114687</v>
      </c>
      <c r="H42" s="20" t="s">
        <v>187</v>
      </c>
      <c r="I42" s="20" t="s">
        <v>186</v>
      </c>
      <c r="J42" s="19" t="s">
        <v>185</v>
      </c>
      <c r="K42" s="20" t="s">
        <v>67</v>
      </c>
      <c r="L42" s="13" t="s">
        <v>171</v>
      </c>
    </row>
    <row r="43" spans="1:12" x14ac:dyDescent="0.25">
      <c r="A43" s="4"/>
      <c r="B43" s="10">
        <v>35</v>
      </c>
      <c r="C43" s="18" t="s">
        <v>122</v>
      </c>
      <c r="D43" s="19">
        <v>4</v>
      </c>
      <c r="E43" s="20">
        <v>4.2000000000000003E-2</v>
      </c>
      <c r="F43" s="8">
        <f>D43*E43</f>
        <v>0.16800000000000001</v>
      </c>
      <c r="G43" s="34">
        <v>85689</v>
      </c>
      <c r="H43" s="20" t="s">
        <v>81</v>
      </c>
      <c r="I43" s="20" t="s">
        <v>80</v>
      </c>
      <c r="J43" s="19" t="s">
        <v>69</v>
      </c>
      <c r="K43" s="20" t="s">
        <v>67</v>
      </c>
      <c r="L43" s="13" t="s">
        <v>58</v>
      </c>
    </row>
    <row r="44" spans="1:12" ht="22.5" x14ac:dyDescent="0.25">
      <c r="A44" s="4"/>
      <c r="B44" s="10">
        <v>36</v>
      </c>
      <c r="C44" s="18" t="s">
        <v>123</v>
      </c>
      <c r="D44" s="19">
        <v>2</v>
      </c>
      <c r="E44" s="20">
        <v>0.92</v>
      </c>
      <c r="F44" s="8">
        <f>D44*E44</f>
        <v>1.84</v>
      </c>
      <c r="G44" s="34">
        <v>37387</v>
      </c>
      <c r="H44" s="20" t="s">
        <v>228</v>
      </c>
      <c r="I44" s="20" t="s">
        <v>83</v>
      </c>
      <c r="J44" s="19" t="s">
        <v>82</v>
      </c>
      <c r="K44" s="20" t="s">
        <v>84</v>
      </c>
      <c r="L44" s="13" t="s">
        <v>59</v>
      </c>
    </row>
    <row r="45" spans="1:12" x14ac:dyDescent="0.25">
      <c r="A45" s="4"/>
      <c r="B45" s="10">
        <v>37</v>
      </c>
      <c r="C45" s="18" t="s">
        <v>170</v>
      </c>
      <c r="D45" s="19">
        <v>1</v>
      </c>
      <c r="E45" s="20">
        <v>1.268</v>
      </c>
      <c r="F45" s="8">
        <f>D45*E45</f>
        <v>1.268</v>
      </c>
      <c r="G45" s="34">
        <v>25875</v>
      </c>
      <c r="H45" s="20" t="s">
        <v>229</v>
      </c>
      <c r="I45" s="20" t="s">
        <v>189</v>
      </c>
      <c r="J45" s="19" t="s">
        <v>188</v>
      </c>
      <c r="K45" s="20" t="s">
        <v>84</v>
      </c>
      <c r="L45" s="13" t="s">
        <v>169</v>
      </c>
    </row>
    <row r="46" spans="1:12" x14ac:dyDescent="0.25">
      <c r="A46" s="4"/>
      <c r="B46" s="10">
        <v>38</v>
      </c>
      <c r="C46" s="18" t="s">
        <v>191</v>
      </c>
      <c r="D46" s="19">
        <v>1</v>
      </c>
      <c r="E46" s="20">
        <v>0.09</v>
      </c>
      <c r="F46" s="8">
        <f>D46*E46</f>
        <v>0.09</v>
      </c>
      <c r="G46" s="34">
        <v>530660</v>
      </c>
      <c r="H46" s="20" t="s">
        <v>198</v>
      </c>
      <c r="I46" s="20" t="s">
        <v>197</v>
      </c>
      <c r="J46" s="19" t="s">
        <v>185</v>
      </c>
      <c r="K46" s="20" t="s">
        <v>184</v>
      </c>
      <c r="L46" s="13" t="s">
        <v>190</v>
      </c>
    </row>
    <row r="47" spans="1:12" x14ac:dyDescent="0.25">
      <c r="A47" s="4"/>
      <c r="B47" s="10">
        <v>39</v>
      </c>
      <c r="C47" s="18" t="s">
        <v>126</v>
      </c>
      <c r="D47" s="19">
        <v>1</v>
      </c>
      <c r="E47" s="20">
        <v>1.65</v>
      </c>
      <c r="F47" s="8">
        <f>D47*E47</f>
        <v>1.65</v>
      </c>
      <c r="G47" s="34">
        <v>379</v>
      </c>
      <c r="H47" s="20" t="s">
        <v>106</v>
      </c>
      <c r="I47" s="20" t="s">
        <v>105</v>
      </c>
      <c r="J47" s="19" t="s">
        <v>104</v>
      </c>
      <c r="K47" s="20" t="s">
        <v>230</v>
      </c>
      <c r="L47" s="13" t="s">
        <v>99</v>
      </c>
    </row>
    <row r="48" spans="1:12" x14ac:dyDescent="0.25">
      <c r="A48" s="4"/>
      <c r="B48" s="10">
        <v>40</v>
      </c>
      <c r="C48" s="18" t="s">
        <v>141</v>
      </c>
      <c r="D48" s="19">
        <v>1</v>
      </c>
      <c r="E48" s="20">
        <v>0.80800000000000005</v>
      </c>
      <c r="F48" s="8">
        <f>D48*E48</f>
        <v>0.80800000000000005</v>
      </c>
      <c r="G48" s="34">
        <v>1412</v>
      </c>
      <c r="H48" s="20" t="s">
        <v>136</v>
      </c>
      <c r="I48" s="20">
        <v>15244745</v>
      </c>
      <c r="J48" s="19" t="s">
        <v>135</v>
      </c>
      <c r="K48" s="20"/>
      <c r="L48" s="13" t="s">
        <v>134</v>
      </c>
    </row>
    <row r="49" spans="1:12" x14ac:dyDescent="0.25">
      <c r="A49" s="4"/>
      <c r="B49" s="10">
        <v>41</v>
      </c>
      <c r="C49" s="37" t="s">
        <v>142</v>
      </c>
      <c r="D49" s="8">
        <v>1</v>
      </c>
      <c r="E49" s="9">
        <v>1.3029999999999999</v>
      </c>
      <c r="F49" s="8">
        <f>D49*E49</f>
        <v>1.3029999999999999</v>
      </c>
      <c r="G49" s="33">
        <v>27750</v>
      </c>
      <c r="H49" s="9" t="s">
        <v>139</v>
      </c>
      <c r="I49" s="9" t="s">
        <v>138</v>
      </c>
      <c r="J49" s="8" t="s">
        <v>29</v>
      </c>
      <c r="K49" s="9"/>
      <c r="L49" s="38" t="s">
        <v>137</v>
      </c>
    </row>
    <row r="50" spans="1:12" x14ac:dyDescent="0.25">
      <c r="A50" s="4"/>
      <c r="B50" s="10">
        <v>42</v>
      </c>
      <c r="C50" s="37" t="s">
        <v>215</v>
      </c>
      <c r="D50" s="8">
        <v>1</v>
      </c>
      <c r="E50" s="9">
        <v>0.45600000000000002</v>
      </c>
      <c r="F50" s="8">
        <f>D50*E50</f>
        <v>0.45600000000000002</v>
      </c>
      <c r="G50" s="33">
        <v>19849</v>
      </c>
      <c r="H50" s="9" t="s">
        <v>217</v>
      </c>
      <c r="I50" s="9" t="s">
        <v>216</v>
      </c>
      <c r="J50" s="8" t="s">
        <v>29</v>
      </c>
      <c r="K50" s="9"/>
      <c r="L50" s="38" t="s">
        <v>214</v>
      </c>
    </row>
    <row r="51" spans="1:12" x14ac:dyDescent="0.25">
      <c r="A51" s="4"/>
      <c r="B51" s="10">
        <v>43</v>
      </c>
      <c r="C51" s="37">
        <v>1</v>
      </c>
      <c r="D51" s="8">
        <v>1</v>
      </c>
      <c r="E51" s="9"/>
      <c r="F51" s="8">
        <f>D51*E51</f>
        <v>0</v>
      </c>
      <c r="G51" s="33"/>
      <c r="H51" s="9" t="s">
        <v>148</v>
      </c>
      <c r="I51" s="9"/>
      <c r="J51" s="8" t="s">
        <v>199</v>
      </c>
      <c r="K51" s="9"/>
      <c r="L51" s="38" t="s">
        <v>147</v>
      </c>
    </row>
    <row r="52" spans="1:12" ht="15.75" thickBot="1" x14ac:dyDescent="0.3">
      <c r="A52" s="4"/>
      <c r="B52" s="17"/>
      <c r="C52" s="35" t="s">
        <v>18</v>
      </c>
      <c r="D52" s="12">
        <f>SUM(D9:D51)</f>
        <v>165</v>
      </c>
      <c r="E52" s="12"/>
      <c r="F52" s="36">
        <f>SUM(F9:F51)</f>
        <v>118.67136000000005</v>
      </c>
      <c r="G52" s="12"/>
      <c r="H52" s="11"/>
      <c r="I52" s="11"/>
      <c r="J52" s="11"/>
      <c r="K52" s="11"/>
      <c r="L52" s="14"/>
    </row>
    <row r="53" spans="1:12" x14ac:dyDescent="0.25">
      <c r="A53" s="3"/>
      <c r="B53" s="3"/>
      <c r="C53" s="24" t="s">
        <v>13</v>
      </c>
      <c r="D53" s="27"/>
      <c r="E53" s="27"/>
      <c r="F53" s="30">
        <v>77.866060000000004</v>
      </c>
      <c r="G53" s="3"/>
      <c r="H53" s="3"/>
      <c r="I53" s="3"/>
      <c r="J53" s="3"/>
    </row>
    <row r="54" spans="1:12" x14ac:dyDescent="0.25">
      <c r="A54" s="3"/>
      <c r="B54" s="3"/>
      <c r="C54" s="25" t="s">
        <v>17</v>
      </c>
      <c r="D54" s="28"/>
      <c r="E54" s="28"/>
      <c r="F54" s="31">
        <v>67.47863000000001</v>
      </c>
      <c r="G54" s="3"/>
      <c r="H54" s="3"/>
      <c r="I54" s="3"/>
      <c r="J54" s="3"/>
    </row>
    <row r="55" spans="1:12" x14ac:dyDescent="0.25">
      <c r="C55" s="25" t="s">
        <v>16</v>
      </c>
      <c r="D55" s="28"/>
      <c r="E55" s="28"/>
      <c r="F55" s="31">
        <v>66.879559999999969</v>
      </c>
      <c r="I55" s="3"/>
    </row>
    <row r="56" spans="1:12" ht="15.75" thickBot="1" x14ac:dyDescent="0.3">
      <c r="B56" t="s">
        <v>14</v>
      </c>
      <c r="C56" s="26" t="s">
        <v>15</v>
      </c>
      <c r="D56" s="29"/>
      <c r="E56" s="29"/>
      <c r="F56" s="32">
        <v>66.819159999999982</v>
      </c>
      <c r="I56" s="3"/>
    </row>
    <row r="57" spans="1:12" x14ac:dyDescent="0.25">
      <c r="I57" s="3"/>
    </row>
    <row r="58" spans="1:12" x14ac:dyDescent="0.25">
      <c r="I58" s="3"/>
    </row>
  </sheetData>
  <mergeCells count="1">
    <mergeCell ref="B2:L2"/>
  </mergeCells>
  <hyperlinks>
    <hyperlink ref="L13" r:id="rId1"/>
    <hyperlink ref="L15" r:id="rId2"/>
    <hyperlink ref="L22" r:id="rId3"/>
    <hyperlink ref="L12" r:id="rId4"/>
    <hyperlink ref="L35" r:id="rId5"/>
    <hyperlink ref="L32" r:id="rId6"/>
    <hyperlink ref="L39" r:id="rId7"/>
    <hyperlink ref="L47" r:id="rId8"/>
    <hyperlink ref="L44" r:id="rId9"/>
    <hyperlink ref="L10" r:id="rId10"/>
    <hyperlink ref="L14" r:id="rId11"/>
    <hyperlink ref="L48" r:id="rId12"/>
    <hyperlink ref="L9" r:id="rId13"/>
    <hyperlink ref="L49" r:id="rId14"/>
    <hyperlink ref="L51" r:id="rId15"/>
    <hyperlink ref="L19" r:id="rId16"/>
    <hyperlink ref="L20" r:id="rId17"/>
    <hyperlink ref="L24" r:id="rId18"/>
    <hyperlink ref="L33" r:id="rId19"/>
    <hyperlink ref="L21" r:id="rId20"/>
    <hyperlink ref="L37" r:id="rId21"/>
    <hyperlink ref="L45" r:id="rId22"/>
    <hyperlink ref="L42" r:id="rId23"/>
    <hyperlink ref="L25" r:id="rId24"/>
    <hyperlink ref="L31" r:id="rId25"/>
    <hyperlink ref="L46" r:id="rId26"/>
    <hyperlink ref="L34" r:id="rId27"/>
    <hyperlink ref="L27" r:id="rId28"/>
    <hyperlink ref="L30" r:id="rId29"/>
    <hyperlink ref="L29" r:id="rId30"/>
    <hyperlink ref="L50" r:id="rId31"/>
    <hyperlink ref="L18" r:id="rId32"/>
  </hyperlinks>
  <pageMargins left="0.7" right="0.7" top="0.75" bottom="0.75" header="0.3" footer="0.3"/>
  <pageSetup paperSize="9" scale="49" orientation="landscape" r:id="rId33"/>
  <drawing r:id="rId34"/>
  <legacyDrawing r:id="rId3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6" name="Button 1">
              <controlPr defaultSize="0" print="0" autoFill="0" autoPict="0" macro="[0]!fetch_data">
                <anchor moveWithCells="1" sizeWithCells="1">
                  <from>
                    <xdr:col>8</xdr:col>
                    <xdr:colOff>1009650</xdr:colOff>
                    <xdr:row>2</xdr:row>
                    <xdr:rowOff>66675</xdr:rowOff>
                  </from>
                  <to>
                    <xdr:col>9</xdr:col>
                    <xdr:colOff>1428750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BoM</vt:lpstr>
      <vt:lpstr>Feuil2</vt:lpstr>
      <vt:lpstr>Feuil3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limpkin</dc:creator>
  <cp:lastModifiedBy>stephan</cp:lastModifiedBy>
  <cp:lastPrinted>2012-07-30T12:19:09Z</cp:lastPrinted>
  <dcterms:created xsi:type="dcterms:W3CDTF">2008-02-20T11:26:06Z</dcterms:created>
  <dcterms:modified xsi:type="dcterms:W3CDTF">2013-11-27T13:26:21Z</dcterms:modified>
</cp:coreProperties>
</file>