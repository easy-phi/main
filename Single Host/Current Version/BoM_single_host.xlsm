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7" i="1" l="1"/>
  <c r="D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<sst xmlns="http://schemas.openxmlformats.org/spreadsheetml/2006/main" count="176" uniqueCount="160">
  <si>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</si>
  <si>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</si>
  <si>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</si>
  <si>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</si>
  <si>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</si>
  <si>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</si>
  <si>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</si>
  <si>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</si>
  <si>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</si>
  <si>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</si>
  <si>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</si>
  <si>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</si>
  <si>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</si>
  <si>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</si>
  <si>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</si>
  <si>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</si>
  <si>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</si>
  <si>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</si>
  <si>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</si>
  <si>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</si>
  <si>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U3</t>
  </si>
  <si>
    <t>FB1</t>
  </si>
  <si>
    <t>Q1</t>
  </si>
  <si>
    <t>U1</t>
  </si>
  <si>
    <t>U9</t>
  </si>
  <si>
    <t>U8</t>
  </si>
  <si>
    <t>U10</t>
  </si>
  <si>
    <t>D3</t>
  </si>
  <si>
    <t>D4</t>
  </si>
  <si>
    <t>U5 U6 U7</t>
  </si>
  <si>
    <t>U4</t>
  </si>
  <si>
    <t>D1</t>
  </si>
  <si>
    <t>U15</t>
  </si>
  <si>
    <t>L1</t>
  </si>
  <si>
    <t>U16</t>
  </si>
  <si>
    <t>C7 C8</t>
  </si>
  <si>
    <t>R5 R6 R7</t>
  </si>
  <si>
    <t>R4</t>
  </si>
  <si>
    <t>R9</t>
  </si>
  <si>
    <t>R2</t>
  </si>
  <si>
    <t>R1</t>
  </si>
  <si>
    <t>R3</t>
  </si>
  <si>
    <t>C2 C6 C9 C10 C11</t>
  </si>
  <si>
    <t>C3</t>
  </si>
  <si>
    <t>C1 C4</t>
  </si>
  <si>
    <t>C5</t>
  </si>
  <si>
    <t>R8</t>
  </si>
  <si>
    <t>http://www.digikey.com/product-detail/en/5650868-4/A32306-ND/811096</t>
  </si>
  <si>
    <t>http://www.digikey.com/product-detail/en/AU-Y1007-R/AE9925-ND/821679</t>
  </si>
  <si>
    <t>http://www.digikey.com/product-detail/en/FDS8949/FDS8949CT-ND/1217904</t>
  </si>
  <si>
    <t>http://www.digikey.com/product-detail/en/PJ-002AH/CP-002AH-ND/408446</t>
  </si>
  <si>
    <t>http://www.digikey.com/product-detail/en/LP2985A-33DBVR/296-18479-1-ND/809914</t>
  </si>
  <si>
    <t>http://www.digikey.com/product-detail/en/SN65LVDS1DBVR/296-6919-1-ND/371647</t>
  </si>
  <si>
    <t>http://www.digikey.com/product-detail/en/SMAJ12A/SMAJ12ALFCT-ND/762482</t>
  </si>
  <si>
    <t>http://www.digikey.com/product-detail/en/SMAJ13CA/SMAJ13CABCT-ND/2254379</t>
  </si>
  <si>
    <t>http://www.digikey.com/product-detail/en/LTC4365CTS8%23TRMPBF/LTC4365CTS8%23TRMPBFCT-ND/2404677</t>
  </si>
  <si>
    <t>http://www.digikey.com/product-detail/en/MBRS340T3G/MBRS340T3GOSCT-ND/918009</t>
  </si>
  <si>
    <t>http://www.digikey.com/product-detail/en/MIC4680-5.0YM%20TR/576-1221-1-ND/771873</t>
  </si>
  <si>
    <t>http://www.digikey.com/product-detail/en/DR1050-680-R/513-1421-1-ND/1555570</t>
  </si>
  <si>
    <t>http://www.digikey.com/product-detail/en/TPS2111APWR/296-16936-1-ND/652790</t>
  </si>
  <si>
    <t>http://www.digikey.com/product-detail/en/C2012X5R1C226K/445-6797-1-ND/2524879</t>
  </si>
  <si>
    <t>http://www.digikey.com/product-detail/en/ERJ-3EKF1002V/P10.0KHCT-ND/198102</t>
  </si>
  <si>
    <t>http://www.digikey.com/product-detail/en/ERJ-3EKF3302V/P33.0KHCT-ND/1746763</t>
  </si>
  <si>
    <t>http://www.digikey.com/product-detail/en/RC0603FR-07430RL/311-430HRCT-ND/730183</t>
  </si>
  <si>
    <t>http://www.digikey.com/product-detail/en/ERJ-3EKF5103V/P510KHCT-ND/1746789</t>
  </si>
  <si>
    <t>http://www.digikey.com/product-detail/en/ERJ-3EKF7503V/P750KHCT-ND/198505</t>
  </si>
  <si>
    <t>http://www.digikey.com/product-detail/en/ERJ-3EKF9102V/P91.0KHCT-ND/1746813</t>
  </si>
  <si>
    <t>http://www.digikey.com/product-detail/en/C0603C104K4RACTU/399-1096-1-ND/411371</t>
  </si>
  <si>
    <t>http://www.digikey.com/product-detail/en/C1608Y5V1A105Z/445-1328-1-ND/567635</t>
  </si>
  <si>
    <t>http://www.digikey.com/product-detail/en/C0603C103K5RACTU/399-1091-1-ND/411366</t>
  </si>
  <si>
    <t>http://www.digikey.com/product-detail/en/JMK107BJ225KA-T/587-1254-1-ND/931031</t>
  </si>
  <si>
    <t>http://www.digikey.com/product-detail/en/ERJ-3EKF1003V/P100KHCT-ND/198110</t>
  </si>
  <si>
    <t>http://www.digikey.com/product-detail/en/FSMRA7JH/450-1661-ND/1632547</t>
  </si>
  <si>
    <t>TE Connectivity</t>
  </si>
  <si>
    <t>5650868-4</t>
  </si>
  <si>
    <t>CONN DIN RECEPT 48POS RT ANG PCB</t>
  </si>
  <si>
    <t>Assmann WSW Components</t>
  </si>
  <si>
    <t>AU-Y1007-R</t>
  </si>
  <si>
    <t>CONN USB RTANG FEMALE TYPE B PCB</t>
  </si>
  <si>
    <t>Taiyo Yuden</t>
  </si>
  <si>
    <t>0805 (2012 Metric)</t>
  </si>
  <si>
    <t>Fairchild Semiconductor</t>
  </si>
  <si>
    <t>FDS8949</t>
  </si>
  <si>
    <t>MOSFET N-CH DUAL 40V 6A 8-SOIC</t>
  </si>
  <si>
    <t>CUI Inc</t>
  </si>
  <si>
    <t>PJ-002AH</t>
  </si>
  <si>
    <t>CONN PWR JACK 2.1X5.5MM HIGH CUR</t>
  </si>
  <si>
    <t>Texas Instruments</t>
  </si>
  <si>
    <t>LP2985A-33DBVR</t>
  </si>
  <si>
    <t>SOT-23-5</t>
  </si>
  <si>
    <t>SN65LVDS1DBVR</t>
  </si>
  <si>
    <t>IC HIGH DIFF LINE DRIVER SOT23-5</t>
  </si>
  <si>
    <t>Fox Electronics</t>
  </si>
  <si>
    <t>4-SMD, No Lead (DFN, LCC)</t>
  </si>
  <si>
    <t>Littelfuse Inc</t>
  </si>
  <si>
    <t>SMAJ12A</t>
  </si>
  <si>
    <t>DIODE TVS 12V 400W UNI 5% SMA</t>
  </si>
  <si>
    <t>SMA</t>
  </si>
  <si>
    <t>Bourns Inc.</t>
  </si>
  <si>
    <t>SMAJ13CA</t>
  </si>
  <si>
    <t>DIODE TVS 13V 400W BI 5% SMD</t>
  </si>
  <si>
    <t>FSMRA7JH</t>
  </si>
  <si>
    <t>SWITCH TACTILE SPST-NO 0.05A 12V</t>
  </si>
  <si>
    <t>Linear Technology</t>
  </si>
  <si>
    <t>LTC4365CTS8#TRMPBF</t>
  </si>
  <si>
    <t>IC OVERVOLTAGE PROT TSOT23-8</t>
  </si>
  <si>
    <t>TSOT-23-8</t>
  </si>
  <si>
    <t>ON Semiconductor</t>
  </si>
  <si>
    <t>MBRS340T3G</t>
  </si>
  <si>
    <t>SMC</t>
  </si>
  <si>
    <t>Micrel Inc</t>
  </si>
  <si>
    <t>MIC4680-5.0YM TR</t>
  </si>
  <si>
    <t>IC REG BUCK 5V 1A 8SOIC</t>
  </si>
  <si>
    <t>8-SOIC</t>
  </si>
  <si>
    <t>Cooper Bussmann</t>
  </si>
  <si>
    <t>DR1050-680-R</t>
  </si>
  <si>
    <t>INDUCTOR POWER SHIELD 68UH SMD</t>
  </si>
  <si>
    <t>TPS2111APWR</t>
  </si>
  <si>
    <t>8-TSSOP</t>
  </si>
  <si>
    <t>TDK Corporation</t>
  </si>
  <si>
    <t>CAP CER 22UF 16V 10% X5R 0805</t>
  </si>
  <si>
    <t>Panasonic Electronic Components</t>
  </si>
  <si>
    <t>ERJ-3EKF1002V</t>
  </si>
  <si>
    <t>0603 (1608 Metric)</t>
  </si>
  <si>
    <t>ERJ-3EKF3302V</t>
  </si>
  <si>
    <t>Yageo</t>
  </si>
  <si>
    <t>RC0603FR-07430RL</t>
  </si>
  <si>
    <t>RES 430 OHM 1/10W 1% 0603 SMD</t>
  </si>
  <si>
    <t>ERJ-3EKF5103V</t>
  </si>
  <si>
    <t>RES 510K OHM 1/10W 1% 0603 SMD</t>
  </si>
  <si>
    <t>ERJ-3EKF7503V</t>
  </si>
  <si>
    <t>RES 750K OHM 1/10W 1% 0603 SMD</t>
  </si>
  <si>
    <t>ERJ-3EKF9102V</t>
  </si>
  <si>
    <t>Kemet</t>
  </si>
  <si>
    <t>C0603C104K4RACTU</t>
  </si>
  <si>
    <t>CAP CER 0.1UF 16V 10% X7R 0603</t>
  </si>
  <si>
    <t>C1608Y5V1A105Z</t>
  </si>
  <si>
    <t>CAP CER 1UF 10V Y5V 0603</t>
  </si>
  <si>
    <t>C0603C103K5RACTU</t>
  </si>
  <si>
    <t>CAP CER 10000PF 50V 10% X7R 0603</t>
  </si>
  <si>
    <t>JMK107BJ225KA-T</t>
  </si>
  <si>
    <t>CAP CER 2.2UF 6.3V 10% X5R 0603</t>
  </si>
  <si>
    <t>ERJ-3EKF1003V</t>
  </si>
  <si>
    <t>RES 100K OHM 1/10W 1% 0603 SMD</t>
  </si>
  <si>
    <t>8-SOIC N</t>
  </si>
  <si>
    <t>http://www.digikey.com/product-detail/en/FOX924B-10.000/631-1067-1-ND/1024772</t>
  </si>
  <si>
    <t>FOX924B-10.000</t>
  </si>
  <si>
    <t>http://www.digikey.com/product-detail/en/BLM21PG221SN1D/490-1054-1-ND/574418</t>
  </si>
  <si>
    <t>Murata Electronics North America</t>
  </si>
  <si>
    <t>BLM21PG221SN1D</t>
  </si>
  <si>
    <t>FERRITE CHIP 220 OHM 0805</t>
  </si>
  <si>
    <t>IC REG LDO 3.3V 0.15A SOT23-5</t>
  </si>
  <si>
    <t>OSCILLATOR TCXO 10.0MHZ 3.3V SMD</t>
  </si>
  <si>
    <t>DIODE SCHOTTKY 40V 4A SMC</t>
  </si>
  <si>
    <t>Non Standard</t>
  </si>
  <si>
    <t>IC OR CTRLR SRC SELECT 8TSSOP</t>
  </si>
  <si>
    <t>C2012X5R1C226K125AC</t>
  </si>
  <si>
    <t>RES 10K OHM 1/10W 1% 0603 SMD</t>
  </si>
  <si>
    <t>RES 33K OHM 1/10W 1% 0603 SMD</t>
  </si>
  <si>
    <t>RES 91K OHM 1/10W 1% 0603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</si>
</sst>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5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wrapText="1"/>
    </xf>
    <xf numFmtId="0" fontId="4" fillId="0" borderId="12" xfId="2" applyBorder="1" applyAlignment="1" applyProtection="1">
      <alignment horizontal="center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3" fontId="7" fillId="2" borderId="1" xfId="1" applyNumberFormat="1" applyFont="1" applyFill="1" applyBorder="1" applyAlignment="1">
      <alignment horizontal="center" wrapText="1"/>
    </xf>
    <xf numFmtId="0" fontId="7" fillId="2" borderId="14" xfId="1" applyFont="1" applyFill="1" applyBorder="1" applyAlignment="1">
      <alignment horizontal="center"/>
    </xf>
    <xf numFmtId="0" fontId="7" fillId="2" borderId="14" xfId="1" applyFont="1" applyFill="1" applyBorder="1" applyAlignment="1">
      <alignment horizontal="center" wrapText="1"/>
    </xf>
    <xf numFmtId="3" fontId="7" fillId="2" borderId="14" xfId="1" applyNumberFormat="1" applyFont="1" applyFill="1" applyBorder="1" applyAlignment="1">
      <alignment horizont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6" fillId="2" borderId="19" xfId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  <a:endParaRPr lang="fr-F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SMAJ13CA/SMAJ13CABCT-ND/2254379" TargetMode="External"/><Relationship Id="rId13" Type="http://schemas.openxmlformats.org/officeDocument/2006/relationships/hyperlink" Target="http://www.digikey.com/product-detail/en/TPS2111APWR/296-16936-1-ND/652790" TargetMode="External"/><Relationship Id="rId18" Type="http://schemas.openxmlformats.org/officeDocument/2006/relationships/hyperlink" Target="http://www.digikey.com/product-detail/en/ERJ-3EKF5103V/P510KHCT-ND/1746789" TargetMode="External"/><Relationship Id="rId26" Type="http://schemas.openxmlformats.org/officeDocument/2006/relationships/hyperlink" Target="http://www.digikey.com/product-detail/en/FSMRA7JH/450-1661-ND/1632547" TargetMode="External"/><Relationship Id="rId3" Type="http://schemas.openxmlformats.org/officeDocument/2006/relationships/hyperlink" Target="http://www.digikey.com/product-detail/en/PJ-002AH/CP-002AH-ND/408446" TargetMode="External"/><Relationship Id="rId21" Type="http://schemas.openxmlformats.org/officeDocument/2006/relationships/hyperlink" Target="http://www.digikey.com/product-detail/en/C0603C104K4RACTU/399-1096-1-ND/411371" TargetMode="External"/><Relationship Id="rId7" Type="http://schemas.openxmlformats.org/officeDocument/2006/relationships/hyperlink" Target="http://www.digikey.com/product-detail/en/FOX924B-10.000/631-1067-1-ND/1024772" TargetMode="External"/><Relationship Id="rId12" Type="http://schemas.openxmlformats.org/officeDocument/2006/relationships/hyperlink" Target="http://www.digikey.com/product-detail/en/DR1050-680-R/513-1421-1-ND/1555570" TargetMode="External"/><Relationship Id="rId17" Type="http://schemas.openxmlformats.org/officeDocument/2006/relationships/hyperlink" Target="http://www.digikey.com/product-detail/en/RC0603FR-07430RL/311-430HRCT-ND/730183" TargetMode="External"/><Relationship Id="rId25" Type="http://schemas.openxmlformats.org/officeDocument/2006/relationships/hyperlink" Target="http://www.digikey.com/product-detail/en/ERJ-3EKF1003V/P100KHCT-ND/198110" TargetMode="External"/><Relationship Id="rId2" Type="http://schemas.openxmlformats.org/officeDocument/2006/relationships/hyperlink" Target="http://www.digikey.com/product-detail/en/AU-Y1007-R/AE9925-ND/821679" TargetMode="External"/><Relationship Id="rId16" Type="http://schemas.openxmlformats.org/officeDocument/2006/relationships/hyperlink" Target="http://www.digikey.com/product-detail/en/ERJ-3EKF3302V/P33.0KHCT-ND/1746763" TargetMode="External"/><Relationship Id="rId20" Type="http://schemas.openxmlformats.org/officeDocument/2006/relationships/hyperlink" Target="http://www.digikey.com/product-detail/en/ERJ-3EKF9102V/P91.0KHCT-ND/1746813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://www.digikey.com/product-detail/en/5650868-4/A32306-ND/811096" TargetMode="External"/><Relationship Id="rId6" Type="http://schemas.openxmlformats.org/officeDocument/2006/relationships/hyperlink" Target="http://www.digikey.com/product-detail/en/SN65LVDS1DBVR/296-6919-1-ND/371647" TargetMode="External"/><Relationship Id="rId11" Type="http://schemas.openxmlformats.org/officeDocument/2006/relationships/hyperlink" Target="http://www.digikey.com/product-detail/en/MIC4680-5.0YM%20TR/576-1221-1-ND/771873" TargetMode="External"/><Relationship Id="rId24" Type="http://schemas.openxmlformats.org/officeDocument/2006/relationships/hyperlink" Target="http://www.digikey.com/product-detail/en/JMK107BJ225KA-T/587-1254-1-ND/931031" TargetMode="External"/><Relationship Id="rId5" Type="http://schemas.openxmlformats.org/officeDocument/2006/relationships/hyperlink" Target="http://www.digikey.com/product-detail/en/LP2985A-33DBVR/296-18479-1-ND/809914" TargetMode="External"/><Relationship Id="rId15" Type="http://schemas.openxmlformats.org/officeDocument/2006/relationships/hyperlink" Target="http://www.digikey.com/product-detail/en/ERJ-3EKF1002V/P10.0KHCT-ND/198102" TargetMode="External"/><Relationship Id="rId23" Type="http://schemas.openxmlformats.org/officeDocument/2006/relationships/hyperlink" Target="http://www.digikey.com/product-detail/en/C0603C103K5RACTU/399-1091-1-ND/411366" TargetMode="External"/><Relationship Id="rId28" Type="http://schemas.openxmlformats.org/officeDocument/2006/relationships/printerSettings" Target="../printerSettings/printerSettings1.bin"/><Relationship Id="rId10" Type="http://schemas.openxmlformats.org/officeDocument/2006/relationships/hyperlink" Target="http://www.digikey.com/product-detail/en/MBRS340T3G/MBRS340T3GOSCT-ND/918009" TargetMode="External"/><Relationship Id="rId19" Type="http://schemas.openxmlformats.org/officeDocument/2006/relationships/hyperlink" Target="http://www.digikey.com/product-detail/en/ERJ-3EKF7503V/P750KHCT-ND/198505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http://www.digikey.com/product-detail/en/FDS8949/FDS8949CT-ND/1217904" TargetMode="External"/><Relationship Id="rId9" Type="http://schemas.openxmlformats.org/officeDocument/2006/relationships/hyperlink" Target="http://www.digikey.com/product-detail/en/LTC4365CTS8%23TRMPBF/LTC4365CTS8%23TRMPBFCT-ND/2404677" TargetMode="External"/><Relationship Id="rId14" Type="http://schemas.openxmlformats.org/officeDocument/2006/relationships/hyperlink" Target="http://www.digikey.com/product-detail/en/C2012X5R1C226K/445-6797-1-ND/2524879" TargetMode="External"/><Relationship Id="rId22" Type="http://schemas.openxmlformats.org/officeDocument/2006/relationships/hyperlink" Target="http://www.digikey.com/product-detail/en/C1608Y5V1A105Z/445-1328-1-ND/567635" TargetMode="External"/><Relationship Id="rId27" Type="http://schemas.openxmlformats.org/officeDocument/2006/relationships/hyperlink" Target="http://www.digikey.com/product-detail/en/BLM21PG221SN1D/490-1054-1-ND/574418" TargetMode="External"/><Relationship Id="rId30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43"/>
  <sheetViews>
    <sheetView tabSelected="1" topLeftCell="C1" zoomScaleNormal="100" workbookViewId="0">
      <selection activeCell="J24" sqref="J24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6.140625" customWidth="1"/>
    <col min="12" max="12" width="101" bestFit="1" customWidth="1"/>
  </cols>
  <sheetData>
    <row r="2" spans="1:14" ht="23.25" customHeight="1" x14ac:dyDescent="0.35">
      <c r="B2" s="44" t="s">
        <v>9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5" t="s">
        <v>10</v>
      </c>
      <c r="D7" s="26">
        <v>10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7" t="s">
        <v>8</v>
      </c>
      <c r="D8" s="6" t="s">
        <v>1</v>
      </c>
      <c r="E8" s="6" t="s">
        <v>13</v>
      </c>
      <c r="F8" s="6" t="s">
        <v>11</v>
      </c>
      <c r="G8" s="6" t="s">
        <v>12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1">
        <v>1</v>
      </c>
      <c r="C9" s="18" t="s">
        <v>20</v>
      </c>
      <c r="D9" s="8">
        <v>1</v>
      </c>
      <c r="E9" s="20">
        <v>3.8879999999999999</v>
      </c>
      <c r="F9" s="8">
        <f>D9*E9</f>
        <v>3.8879999999999999</v>
      </c>
      <c r="G9" s="20">
        <v>134</v>
      </c>
      <c r="H9" s="10" t="s">
        <v>75</v>
      </c>
      <c r="I9" s="10" t="s">
        <v>74</v>
      </c>
      <c r="J9" s="9" t="s">
        <v>73</v>
      </c>
      <c r="K9" s="10"/>
      <c r="L9" s="15" t="s">
        <v>47</v>
      </c>
    </row>
    <row r="10" spans="1:14" x14ac:dyDescent="0.25">
      <c r="A10" s="4"/>
      <c r="B10" s="11">
        <v>2</v>
      </c>
      <c r="C10" s="18" t="s">
        <v>7</v>
      </c>
      <c r="D10" s="8">
        <v>1</v>
      </c>
      <c r="E10" s="20">
        <v>0.64500000000000002</v>
      </c>
      <c r="F10" s="8">
        <f>D10*E10</f>
        <v>0.64500000000000002</v>
      </c>
      <c r="G10" s="28">
        <v>23309</v>
      </c>
      <c r="H10" s="10" t="s">
        <v>78</v>
      </c>
      <c r="I10" s="27" t="s">
        <v>77</v>
      </c>
      <c r="J10" s="10" t="s">
        <v>76</v>
      </c>
      <c r="K10" s="10"/>
      <c r="L10" s="15" t="s">
        <v>48</v>
      </c>
    </row>
    <row r="11" spans="1:14" x14ac:dyDescent="0.25">
      <c r="A11" s="4"/>
      <c r="B11" s="11">
        <v>3</v>
      </c>
      <c r="C11" s="18" t="s">
        <v>21</v>
      </c>
      <c r="D11" s="8">
        <v>1</v>
      </c>
      <c r="E11" s="20">
        <v>0.09</v>
      </c>
      <c r="F11" s="8">
        <f>D11*E11</f>
        <v>0.09</v>
      </c>
      <c r="G11" s="28">
        <v>566336</v>
      </c>
      <c r="H11" s="10" t="s">
        <v>150</v>
      </c>
      <c r="I11" s="10" t="s">
        <v>149</v>
      </c>
      <c r="J11" s="9" t="s">
        <v>148</v>
      </c>
      <c r="K11" s="10" t="s">
        <v>80</v>
      </c>
      <c r="L11" s="14" t="s">
        <v>147</v>
      </c>
    </row>
    <row r="12" spans="1:14" x14ac:dyDescent="0.25">
      <c r="A12" s="4"/>
      <c r="B12" s="11">
        <v>4</v>
      </c>
      <c r="C12" s="18" t="s">
        <v>22</v>
      </c>
      <c r="D12" s="29">
        <v>1</v>
      </c>
      <c r="E12" s="30">
        <v>0.79200000000000004</v>
      </c>
      <c r="F12" s="8">
        <f>D12*E12</f>
        <v>0.79200000000000004</v>
      </c>
      <c r="G12" s="31">
        <v>92299</v>
      </c>
      <c r="H12" s="24" t="s">
        <v>83</v>
      </c>
      <c r="I12" s="24" t="s">
        <v>82</v>
      </c>
      <c r="J12" s="23" t="s">
        <v>81</v>
      </c>
      <c r="K12" s="24" t="s">
        <v>144</v>
      </c>
      <c r="L12" s="14" t="s">
        <v>49</v>
      </c>
    </row>
    <row r="13" spans="1:14" x14ac:dyDescent="0.25">
      <c r="A13" s="4"/>
      <c r="B13" s="11">
        <v>5</v>
      </c>
      <c r="C13" s="18" t="s">
        <v>23</v>
      </c>
      <c r="D13" s="29">
        <v>1</v>
      </c>
      <c r="E13" s="30">
        <v>0.70399999999999996</v>
      </c>
      <c r="F13" s="8">
        <f>D13*E13</f>
        <v>0.70399999999999996</v>
      </c>
      <c r="G13" s="31">
        <v>41005</v>
      </c>
      <c r="H13" s="24" t="s">
        <v>86</v>
      </c>
      <c r="I13" s="24" t="s">
        <v>85</v>
      </c>
      <c r="J13" s="23" t="s">
        <v>84</v>
      </c>
      <c r="K13" s="24"/>
      <c r="L13" s="14" t="s">
        <v>50</v>
      </c>
    </row>
    <row r="14" spans="1:14" x14ac:dyDescent="0.25">
      <c r="A14" s="4"/>
      <c r="B14" s="11">
        <v>6</v>
      </c>
      <c r="C14" s="18" t="s">
        <v>24</v>
      </c>
      <c r="D14" s="29">
        <v>1</v>
      </c>
      <c r="E14" s="30">
        <v>0.68600000000000005</v>
      </c>
      <c r="F14" s="8">
        <f>D14*E14</f>
        <v>0.68600000000000005</v>
      </c>
      <c r="G14" s="31">
        <v>40839</v>
      </c>
      <c r="H14" s="24" t="s">
        <v>151</v>
      </c>
      <c r="I14" s="24" t="s">
        <v>88</v>
      </c>
      <c r="J14" s="23" t="s">
        <v>87</v>
      </c>
      <c r="K14" s="24" t="s">
        <v>89</v>
      </c>
      <c r="L14" s="15" t="s">
        <v>51</v>
      </c>
    </row>
    <row r="15" spans="1:14" x14ac:dyDescent="0.25">
      <c r="A15" s="4"/>
      <c r="B15" s="11">
        <v>7</v>
      </c>
      <c r="C15" s="18" t="s">
        <v>25</v>
      </c>
      <c r="D15" s="29">
        <v>1</v>
      </c>
      <c r="E15" s="30">
        <v>1.321</v>
      </c>
      <c r="F15" s="8">
        <f>D15*E15</f>
        <v>1.321</v>
      </c>
      <c r="G15" s="31">
        <v>10847</v>
      </c>
      <c r="H15" s="24" t="s">
        <v>91</v>
      </c>
      <c r="I15" s="24" t="s">
        <v>90</v>
      </c>
      <c r="J15" s="23" t="s">
        <v>87</v>
      </c>
      <c r="K15" s="24" t="s">
        <v>89</v>
      </c>
      <c r="L15" s="21" t="s">
        <v>52</v>
      </c>
    </row>
    <row r="16" spans="1:14" ht="22.5" x14ac:dyDescent="0.25">
      <c r="A16" s="4"/>
      <c r="B16" s="11">
        <v>8</v>
      </c>
      <c r="C16" s="18" t="s">
        <v>26</v>
      </c>
      <c r="D16" s="29">
        <v>1</v>
      </c>
      <c r="E16" s="30">
        <v>3.5910000000000002</v>
      </c>
      <c r="F16" s="8">
        <f>D16*E16</f>
        <v>3.5910000000000002</v>
      </c>
      <c r="G16" s="31">
        <v>3782</v>
      </c>
      <c r="H16" s="24" t="s">
        <v>152</v>
      </c>
      <c r="I16" s="24" t="s">
        <v>146</v>
      </c>
      <c r="J16" s="23" t="s">
        <v>92</v>
      </c>
      <c r="K16" s="24" t="s">
        <v>93</v>
      </c>
      <c r="L16" s="14" t="s">
        <v>145</v>
      </c>
    </row>
    <row r="17" spans="1:12" x14ac:dyDescent="0.25">
      <c r="A17" s="4"/>
      <c r="B17" s="11">
        <v>9</v>
      </c>
      <c r="C17" s="18" t="s">
        <v>27</v>
      </c>
      <c r="D17" s="29">
        <v>1</v>
      </c>
      <c r="E17" s="30">
        <v>0.36</v>
      </c>
      <c r="F17" s="8">
        <f>D17*E17</f>
        <v>0.36</v>
      </c>
      <c r="G17" s="31">
        <v>45062</v>
      </c>
      <c r="H17" s="24" t="s">
        <v>96</v>
      </c>
      <c r="I17" s="24" t="s">
        <v>95</v>
      </c>
      <c r="J17" s="23" t="s">
        <v>94</v>
      </c>
      <c r="K17" s="24" t="s">
        <v>97</v>
      </c>
      <c r="L17" s="14" t="s">
        <v>53</v>
      </c>
    </row>
    <row r="18" spans="1:12" x14ac:dyDescent="0.25">
      <c r="A18" s="4"/>
      <c r="B18" s="11">
        <v>10</v>
      </c>
      <c r="C18" s="18" t="s">
        <v>28</v>
      </c>
      <c r="D18" s="29">
        <v>1</v>
      </c>
      <c r="E18" s="30">
        <v>0.33100000000000002</v>
      </c>
      <c r="F18" s="8">
        <f>D18*E18</f>
        <v>0.33100000000000002</v>
      </c>
      <c r="G18" s="31">
        <v>12683</v>
      </c>
      <c r="H18" s="24" t="s">
        <v>100</v>
      </c>
      <c r="I18" s="24" t="s">
        <v>99</v>
      </c>
      <c r="J18" s="23" t="s">
        <v>98</v>
      </c>
      <c r="K18" s="24" t="s">
        <v>97</v>
      </c>
      <c r="L18" s="14" t="s">
        <v>54</v>
      </c>
    </row>
    <row r="19" spans="1:12" x14ac:dyDescent="0.25">
      <c r="A19" s="4"/>
      <c r="B19" s="11">
        <v>11</v>
      </c>
      <c r="C19" s="18" t="s">
        <v>29</v>
      </c>
      <c r="D19" s="29">
        <v>3</v>
      </c>
      <c r="E19" s="30">
        <v>0.18240000000000001</v>
      </c>
      <c r="F19" s="8">
        <f>D19*E19</f>
        <v>0.54720000000000002</v>
      </c>
      <c r="G19" s="31">
        <v>22466</v>
      </c>
      <c r="H19" s="24" t="s">
        <v>102</v>
      </c>
      <c r="I19" s="24" t="s">
        <v>101</v>
      </c>
      <c r="J19" s="23" t="s">
        <v>73</v>
      </c>
      <c r="K19" s="24"/>
      <c r="L19" s="14" t="s">
        <v>72</v>
      </c>
    </row>
    <row r="20" spans="1:12" x14ac:dyDescent="0.25">
      <c r="A20" s="4"/>
      <c r="B20" s="43">
        <v>12</v>
      </c>
      <c r="C20" s="18" t="s">
        <v>30</v>
      </c>
      <c r="D20" s="29">
        <v>1</v>
      </c>
      <c r="E20" s="30">
        <v>3.89</v>
      </c>
      <c r="F20" s="29">
        <f>D20*E20</f>
        <v>3.89</v>
      </c>
      <c r="G20" s="31">
        <v>1956</v>
      </c>
      <c r="H20" s="24" t="s">
        <v>105</v>
      </c>
      <c r="I20" s="24" t="s">
        <v>104</v>
      </c>
      <c r="J20" s="23" t="s">
        <v>103</v>
      </c>
      <c r="K20" s="24" t="s">
        <v>106</v>
      </c>
      <c r="L20" s="14" t="s">
        <v>55</v>
      </c>
    </row>
    <row r="21" spans="1:12" x14ac:dyDescent="0.25">
      <c r="A21" s="4"/>
      <c r="B21" s="43">
        <v>13</v>
      </c>
      <c r="C21" s="18" t="s">
        <v>31</v>
      </c>
      <c r="D21" s="29">
        <v>1</v>
      </c>
      <c r="E21" s="30">
        <v>0.40300000000000002</v>
      </c>
      <c r="F21" s="29">
        <f>D21*E21</f>
        <v>0.40300000000000002</v>
      </c>
      <c r="G21" s="31">
        <v>307859</v>
      </c>
      <c r="H21" s="24" t="s">
        <v>153</v>
      </c>
      <c r="I21" s="24" t="s">
        <v>108</v>
      </c>
      <c r="J21" s="23" t="s">
        <v>107</v>
      </c>
      <c r="K21" s="24" t="s">
        <v>109</v>
      </c>
      <c r="L21" s="15" t="s">
        <v>56</v>
      </c>
    </row>
    <row r="22" spans="1:12" x14ac:dyDescent="0.25">
      <c r="A22" s="4"/>
      <c r="B22" s="43">
        <v>14</v>
      </c>
      <c r="C22" s="18" t="s">
        <v>32</v>
      </c>
      <c r="D22" s="29">
        <v>1</v>
      </c>
      <c r="E22" s="30">
        <v>3.8069999999999999</v>
      </c>
      <c r="F22" s="29">
        <f>D22*E22</f>
        <v>3.8069999999999999</v>
      </c>
      <c r="G22" s="31">
        <v>5542</v>
      </c>
      <c r="H22" s="24" t="s">
        <v>112</v>
      </c>
      <c r="I22" s="24" t="s">
        <v>111</v>
      </c>
      <c r="J22" s="23" t="s">
        <v>110</v>
      </c>
      <c r="K22" s="24" t="s">
        <v>113</v>
      </c>
      <c r="L22" s="14" t="s">
        <v>57</v>
      </c>
    </row>
    <row r="23" spans="1:12" x14ac:dyDescent="0.25">
      <c r="A23" s="4"/>
      <c r="B23" s="43">
        <v>15</v>
      </c>
      <c r="C23" s="18" t="s">
        <v>33</v>
      </c>
      <c r="D23" s="29">
        <v>1</v>
      </c>
      <c r="E23" s="30">
        <v>1.96</v>
      </c>
      <c r="F23" s="29">
        <f>D23*E23</f>
        <v>1.96</v>
      </c>
      <c r="G23" s="31">
        <v>8245</v>
      </c>
      <c r="H23" s="24" t="s">
        <v>116</v>
      </c>
      <c r="I23" s="24" t="s">
        <v>115</v>
      </c>
      <c r="J23" s="23" t="s">
        <v>114</v>
      </c>
      <c r="K23" s="24" t="s">
        <v>154</v>
      </c>
      <c r="L23" s="14" t="s">
        <v>58</v>
      </c>
    </row>
    <row r="24" spans="1:12" x14ac:dyDescent="0.25">
      <c r="A24" s="4"/>
      <c r="B24" s="43">
        <v>16</v>
      </c>
      <c r="C24" s="18" t="s">
        <v>34</v>
      </c>
      <c r="D24" s="29">
        <v>1</v>
      </c>
      <c r="E24" s="30">
        <v>1.944</v>
      </c>
      <c r="F24" s="29">
        <f>D24*E24</f>
        <v>1.944</v>
      </c>
      <c r="G24" s="31">
        <v>3951</v>
      </c>
      <c r="H24" s="24" t="s">
        <v>155</v>
      </c>
      <c r="I24" s="24" t="s">
        <v>117</v>
      </c>
      <c r="J24" s="23" t="s">
        <v>87</v>
      </c>
      <c r="K24" s="24" t="s">
        <v>118</v>
      </c>
      <c r="L24" s="14" t="s">
        <v>59</v>
      </c>
    </row>
    <row r="25" spans="1:12" x14ac:dyDescent="0.25">
      <c r="A25" s="4"/>
      <c r="B25" s="43">
        <v>17</v>
      </c>
      <c r="C25" s="18" t="s">
        <v>35</v>
      </c>
      <c r="D25" s="29">
        <v>2</v>
      </c>
      <c r="E25" s="30">
        <v>0.73699999999999999</v>
      </c>
      <c r="F25" s="29">
        <f>D25*E25</f>
        <v>1.474</v>
      </c>
      <c r="G25" s="31">
        <v>11103</v>
      </c>
      <c r="H25" s="24" t="s">
        <v>120</v>
      </c>
      <c r="I25" s="24" t="s">
        <v>156</v>
      </c>
      <c r="J25" s="23" t="s">
        <v>119</v>
      </c>
      <c r="K25" s="24" t="s">
        <v>80</v>
      </c>
      <c r="L25" s="14" t="s">
        <v>60</v>
      </c>
    </row>
    <row r="26" spans="1:12" x14ac:dyDescent="0.25">
      <c r="A26" s="4"/>
      <c r="B26" s="43">
        <v>18</v>
      </c>
      <c r="C26" s="18" t="s">
        <v>36</v>
      </c>
      <c r="D26" s="29">
        <v>3</v>
      </c>
      <c r="E26" s="30">
        <v>0.1</v>
      </c>
      <c r="F26" s="29">
        <f>D26*E26</f>
        <v>0.30000000000000004</v>
      </c>
      <c r="G26" s="31">
        <v>9183086</v>
      </c>
      <c r="H26" s="24" t="s">
        <v>157</v>
      </c>
      <c r="I26" s="24" t="s">
        <v>122</v>
      </c>
      <c r="J26" s="23" t="s">
        <v>121</v>
      </c>
      <c r="K26" s="24">
        <v>603</v>
      </c>
      <c r="L26" s="14" t="s">
        <v>61</v>
      </c>
    </row>
    <row r="27" spans="1:12" x14ac:dyDescent="0.25">
      <c r="A27" s="4"/>
      <c r="B27" s="43">
        <v>19</v>
      </c>
      <c r="C27" s="18" t="s">
        <v>37</v>
      </c>
      <c r="D27" s="29">
        <v>1</v>
      </c>
      <c r="E27" s="30">
        <v>0.1</v>
      </c>
      <c r="F27" s="29">
        <f>D27*E27</f>
        <v>0.1</v>
      </c>
      <c r="G27" s="31">
        <v>494250</v>
      </c>
      <c r="H27" s="24" t="s">
        <v>158</v>
      </c>
      <c r="I27" s="24" t="s">
        <v>124</v>
      </c>
      <c r="J27" s="23" t="s">
        <v>121</v>
      </c>
      <c r="K27" s="24">
        <v>603</v>
      </c>
      <c r="L27" s="15" t="s">
        <v>62</v>
      </c>
    </row>
    <row r="28" spans="1:12" x14ac:dyDescent="0.25">
      <c r="A28" s="4"/>
      <c r="B28" s="43">
        <v>20</v>
      </c>
      <c r="C28" s="18" t="s">
        <v>38</v>
      </c>
      <c r="D28" s="29">
        <v>1</v>
      </c>
      <c r="E28" s="30">
        <v>1.4E-2</v>
      </c>
      <c r="F28" s="29">
        <f>D28*E28</f>
        <v>1.4E-2</v>
      </c>
      <c r="G28" s="31">
        <v>47871</v>
      </c>
      <c r="H28" s="24" t="s">
        <v>127</v>
      </c>
      <c r="I28" s="24" t="s">
        <v>126</v>
      </c>
      <c r="J28" s="23" t="s">
        <v>125</v>
      </c>
      <c r="K28" s="24">
        <v>603</v>
      </c>
      <c r="L28" s="14" t="s">
        <v>63</v>
      </c>
    </row>
    <row r="29" spans="1:12" x14ac:dyDescent="0.25">
      <c r="A29" s="4"/>
      <c r="B29" s="43">
        <v>21</v>
      </c>
      <c r="C29" s="18" t="s">
        <v>39</v>
      </c>
      <c r="D29" s="29">
        <v>1</v>
      </c>
      <c r="E29" s="30">
        <v>0.1</v>
      </c>
      <c r="F29" s="29">
        <f>D29*E29</f>
        <v>0.1</v>
      </c>
      <c r="G29" s="31">
        <v>137050</v>
      </c>
      <c r="H29" s="24" t="s">
        <v>129</v>
      </c>
      <c r="I29" s="24" t="s">
        <v>128</v>
      </c>
      <c r="J29" s="23" t="s">
        <v>121</v>
      </c>
      <c r="K29" s="24">
        <v>603</v>
      </c>
      <c r="L29" s="14" t="s">
        <v>64</v>
      </c>
    </row>
    <row r="30" spans="1:12" x14ac:dyDescent="0.25">
      <c r="A30" s="4"/>
      <c r="B30" s="43">
        <v>22</v>
      </c>
      <c r="C30" s="18" t="s">
        <v>40</v>
      </c>
      <c r="D30" s="29">
        <v>1</v>
      </c>
      <c r="E30" s="30">
        <v>0.1</v>
      </c>
      <c r="F30" s="29">
        <f>D30*E30</f>
        <v>0.1</v>
      </c>
      <c r="G30" s="31">
        <v>18196</v>
      </c>
      <c r="H30" s="24" t="s">
        <v>131</v>
      </c>
      <c r="I30" s="24" t="s">
        <v>130</v>
      </c>
      <c r="J30" s="23" t="s">
        <v>121</v>
      </c>
      <c r="K30" s="24">
        <v>603</v>
      </c>
      <c r="L30" s="14" t="s">
        <v>65</v>
      </c>
    </row>
    <row r="31" spans="1:12" x14ac:dyDescent="0.25">
      <c r="A31" s="4"/>
      <c r="B31" s="43">
        <v>23</v>
      </c>
      <c r="C31" s="18" t="s">
        <v>41</v>
      </c>
      <c r="D31" s="29">
        <v>1</v>
      </c>
      <c r="E31" s="30">
        <v>0.1</v>
      </c>
      <c r="F31" s="29">
        <f>D31*E31</f>
        <v>0.1</v>
      </c>
      <c r="G31" s="31">
        <v>99841</v>
      </c>
      <c r="H31" s="24" t="s">
        <v>159</v>
      </c>
      <c r="I31" s="24" t="s">
        <v>132</v>
      </c>
      <c r="J31" s="23" t="s">
        <v>121</v>
      </c>
      <c r="K31" s="24">
        <v>603</v>
      </c>
      <c r="L31" s="14" t="s">
        <v>66</v>
      </c>
    </row>
    <row r="32" spans="1:12" x14ac:dyDescent="0.25">
      <c r="A32" s="4"/>
      <c r="B32" s="43">
        <v>24</v>
      </c>
      <c r="C32" s="18" t="s">
        <v>42</v>
      </c>
      <c r="D32" s="29">
        <v>5</v>
      </c>
      <c r="E32" s="30">
        <v>1.18E-2</v>
      </c>
      <c r="F32" s="29">
        <f>D32*E32</f>
        <v>5.8999999999999997E-2</v>
      </c>
      <c r="G32" s="31">
        <v>2315905</v>
      </c>
      <c r="H32" s="24" t="s">
        <v>135</v>
      </c>
      <c r="I32" s="24" t="s">
        <v>134</v>
      </c>
      <c r="J32" s="23" t="s">
        <v>133</v>
      </c>
      <c r="K32" s="24" t="s">
        <v>123</v>
      </c>
      <c r="L32" s="14" t="s">
        <v>67</v>
      </c>
    </row>
    <row r="33" spans="1:12" x14ac:dyDescent="0.25">
      <c r="A33" s="4"/>
      <c r="B33" s="43">
        <v>25</v>
      </c>
      <c r="C33" s="18" t="s">
        <v>43</v>
      </c>
      <c r="D33" s="29">
        <v>1</v>
      </c>
      <c r="E33" s="30">
        <v>4.1000000000000002E-2</v>
      </c>
      <c r="F33" s="29">
        <f>D33*E33</f>
        <v>4.1000000000000002E-2</v>
      </c>
      <c r="G33" s="31">
        <v>152500</v>
      </c>
      <c r="H33" s="24" t="s">
        <v>137</v>
      </c>
      <c r="I33" s="24" t="s">
        <v>136</v>
      </c>
      <c r="J33" s="23" t="s">
        <v>119</v>
      </c>
      <c r="K33" s="24" t="s">
        <v>123</v>
      </c>
      <c r="L33" s="14" t="s">
        <v>68</v>
      </c>
    </row>
    <row r="34" spans="1:12" x14ac:dyDescent="0.25">
      <c r="A34" s="4"/>
      <c r="B34" s="43">
        <v>26</v>
      </c>
      <c r="C34" s="18" t="s">
        <v>44</v>
      </c>
      <c r="D34" s="29">
        <v>2</v>
      </c>
      <c r="E34" s="30">
        <v>1.9E-2</v>
      </c>
      <c r="F34" s="29">
        <f>D34*E34</f>
        <v>3.7999999999999999E-2</v>
      </c>
      <c r="G34" s="31">
        <v>1437022</v>
      </c>
      <c r="H34" s="24" t="s">
        <v>139</v>
      </c>
      <c r="I34" s="24" t="s">
        <v>138</v>
      </c>
      <c r="J34" s="23" t="s">
        <v>133</v>
      </c>
      <c r="K34" s="24" t="s">
        <v>123</v>
      </c>
      <c r="L34" s="14" t="s">
        <v>69</v>
      </c>
    </row>
    <row r="35" spans="1:12" x14ac:dyDescent="0.25">
      <c r="A35" s="4"/>
      <c r="B35" s="43">
        <v>27</v>
      </c>
      <c r="C35" s="18" t="s">
        <v>45</v>
      </c>
      <c r="D35" s="29">
        <v>1</v>
      </c>
      <c r="E35" s="30">
        <v>0.08</v>
      </c>
      <c r="F35" s="29">
        <f>D35*E35</f>
        <v>0.08</v>
      </c>
      <c r="G35" s="31">
        <v>145428</v>
      </c>
      <c r="H35" s="24" t="s">
        <v>141</v>
      </c>
      <c r="I35" s="24" t="s">
        <v>140</v>
      </c>
      <c r="J35" s="23" t="s">
        <v>79</v>
      </c>
      <c r="K35" s="24" t="s">
        <v>123</v>
      </c>
      <c r="L35" s="14" t="s">
        <v>70</v>
      </c>
    </row>
    <row r="36" spans="1:12" x14ac:dyDescent="0.25">
      <c r="A36" s="4"/>
      <c r="B36" s="43">
        <v>28</v>
      </c>
      <c r="C36" s="18" t="s">
        <v>46</v>
      </c>
      <c r="D36" s="29">
        <v>1</v>
      </c>
      <c r="E36" s="30">
        <v>0.1</v>
      </c>
      <c r="F36" s="29">
        <f>D36*E36</f>
        <v>0.1</v>
      </c>
      <c r="G36" s="31">
        <v>7713716</v>
      </c>
      <c r="H36" s="24" t="s">
        <v>143</v>
      </c>
      <c r="I36" s="24" t="s">
        <v>142</v>
      </c>
      <c r="J36" s="23" t="s">
        <v>121</v>
      </c>
      <c r="K36" s="24">
        <v>603</v>
      </c>
      <c r="L36" s="14" t="s">
        <v>71</v>
      </c>
    </row>
    <row r="37" spans="1:12" ht="15.75" thickBot="1" x14ac:dyDescent="0.3">
      <c r="A37" s="4"/>
      <c r="B37" s="19"/>
      <c r="C37" s="22" t="s">
        <v>19</v>
      </c>
      <c r="D37" s="32">
        <f>SUM(D9:D36)</f>
        <v>38</v>
      </c>
      <c r="E37" s="32"/>
      <c r="F37" s="39">
        <f>SUM(F9:F36)</f>
        <v>27.465200000000003</v>
      </c>
      <c r="G37" s="13"/>
      <c r="H37" s="12"/>
      <c r="I37" s="12"/>
      <c r="J37" s="12"/>
      <c r="K37" s="12"/>
      <c r="L37" s="16"/>
    </row>
    <row r="38" spans="1:12" x14ac:dyDescent="0.25">
      <c r="A38" s="3"/>
      <c r="B38" s="3"/>
      <c r="C38" s="33" t="s">
        <v>14</v>
      </c>
      <c r="D38" s="36"/>
      <c r="E38" s="36"/>
      <c r="F38" s="40">
        <v>20.317940000000004</v>
      </c>
      <c r="G38" s="3"/>
      <c r="H38" s="3"/>
      <c r="I38" s="3"/>
      <c r="J38" s="3"/>
    </row>
    <row r="39" spans="1:12" x14ac:dyDescent="0.25">
      <c r="A39" s="3"/>
      <c r="B39" s="3"/>
      <c r="C39" s="34" t="s">
        <v>18</v>
      </c>
      <c r="D39" s="37"/>
      <c r="E39" s="37"/>
      <c r="F39" s="41">
        <v>16.253510000000002</v>
      </c>
      <c r="G39" s="3"/>
      <c r="H39" s="3"/>
      <c r="I39" s="3"/>
      <c r="J39" s="3"/>
    </row>
    <row r="40" spans="1:12" x14ac:dyDescent="0.25">
      <c r="C40" s="34" t="s">
        <v>17</v>
      </c>
      <c r="D40" s="37"/>
      <c r="E40" s="37"/>
      <c r="F40" s="41">
        <v>15.879290000000003</v>
      </c>
      <c r="I40" s="3"/>
    </row>
    <row r="41" spans="1:12" ht="15.75" thickBot="1" x14ac:dyDescent="0.3">
      <c r="B41" t="s">
        <v>15</v>
      </c>
      <c r="C41" s="35" t="s">
        <v>16</v>
      </c>
      <c r="D41" s="38"/>
      <c r="E41" s="38"/>
      <c r="F41" s="42">
        <v>15.879290000000003</v>
      </c>
      <c r="I41" s="3"/>
    </row>
    <row r="42" spans="1:12" x14ac:dyDescent="0.25">
      <c r="I42" s="3"/>
    </row>
    <row r="43" spans="1:12" x14ac:dyDescent="0.25">
      <c r="I43" s="3"/>
    </row>
  </sheetData>
  <mergeCells count="1">
    <mergeCell ref="B2:L2"/>
  </mergeCells>
  <hyperlinks>
    <hyperlink ref="L9" r:id="rId1"/>
    <hyperlink ref="L10" r:id="rId2"/>
    <hyperlink ref="L13" r:id="rId3"/>
    <hyperlink ref="L12" r:id="rId4"/>
    <hyperlink ref="L14" r:id="rId5"/>
    <hyperlink ref="L15" r:id="rId6"/>
    <hyperlink ref="L16" r:id="rId7"/>
    <hyperlink ref="L18" r:id="rId8"/>
    <hyperlink ref="L20" r:id="rId9"/>
    <hyperlink ref="L21" r:id="rId10"/>
    <hyperlink ref="L22" r:id="rId11"/>
    <hyperlink ref="L23" r:id="rId12"/>
    <hyperlink ref="L24" r:id="rId13"/>
    <hyperlink ref="L25" r:id="rId14"/>
    <hyperlink ref="L26" r:id="rId15"/>
    <hyperlink ref="L27" r:id="rId16"/>
    <hyperlink ref="L28" r:id="rId17"/>
    <hyperlink ref="L29" r:id="rId18"/>
    <hyperlink ref="L30" r:id="rId19"/>
    <hyperlink ref="L31" r:id="rId20"/>
    <hyperlink ref="L32" r:id="rId21"/>
    <hyperlink ref="L33" r:id="rId22"/>
    <hyperlink ref="L34" r:id="rId23"/>
    <hyperlink ref="L35" r:id="rId24"/>
    <hyperlink ref="L36" r:id="rId25"/>
    <hyperlink ref="L19" r:id="rId26"/>
    <hyperlink ref="L11" r:id="rId27"/>
  </hyperlinks>
  <pageMargins left="0.7" right="0.7" top="0.75" bottom="0.75" header="0.3" footer="0.3"/>
  <pageSetup paperSize="9" scale="49" orientation="landscape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2013-06-03T12:57:35Z</dcterms:modified>
</cp:coreProperties>
</file>